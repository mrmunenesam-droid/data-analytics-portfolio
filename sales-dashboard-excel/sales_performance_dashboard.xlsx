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app/Documents/"/>
    </mc:Choice>
  </mc:AlternateContent>
  <xr:revisionPtr revIDLastSave="0" documentId="13_ncr:1_{473FE3EC-AE70-994F-8571-D733B52C4B58}" xr6:coauthVersionLast="47" xr6:coauthVersionMax="47" xr10:uidLastSave="{00000000-0000-0000-0000-000000000000}"/>
  <bookViews>
    <workbookView xWindow="0" yWindow="500" windowWidth="20740" windowHeight="11760" xr2:uid="{0ADC9B50-50D0-4DFF-A4AF-47E55424CCB1}"/>
  </bookViews>
  <sheets>
    <sheet name="Dashboard" sheetId="5" r:id="rId1"/>
    <sheet name="Pivot_Tables" sheetId="4" r:id="rId2"/>
    <sheet name="Clean_Data" sheetId="2" r:id="rId3"/>
    <sheet name="Item_ Master" sheetId="3" r:id="rId4"/>
    <sheet name="Raw_Data" sheetId="1" r:id="rId5"/>
  </sheets>
  <definedNames>
    <definedName name="ExternalData_1" localSheetId="2" hidden="1">'Clean_Data'!$A$1:$H$501</definedName>
    <definedName name="Slicer_Branch">#N/A</definedName>
    <definedName name="Slicer_Category">#N/A</definedName>
    <definedName name="Slicer_Months__Date">#N/A</definedName>
    <definedName name="Slicer_Payment_Method">#N/A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1" i="4" l="1"/>
  <c r="H92" i="4" s="1"/>
  <c r="H12" i="4"/>
  <c r="H13" i="4" s="1"/>
  <c r="H5" i="4"/>
  <c r="E105" i="4"/>
  <c r="E106" i="4"/>
  <c r="E104" i="4"/>
  <c r="D105" i="4"/>
  <c r="D106" i="4"/>
  <c r="D104" i="4"/>
  <c r="E90" i="4"/>
  <c r="E91" i="4"/>
  <c r="E92" i="4"/>
  <c r="E93" i="4"/>
  <c r="E94" i="4"/>
  <c r="E95" i="4"/>
  <c r="E96" i="4"/>
  <c r="E97" i="4"/>
  <c r="E98" i="4"/>
  <c r="E99" i="4"/>
  <c r="E100" i="4"/>
  <c r="D91" i="4"/>
  <c r="D92" i="4"/>
  <c r="D93" i="4"/>
  <c r="D94" i="4"/>
  <c r="D95" i="4"/>
  <c r="D96" i="4"/>
  <c r="D97" i="4"/>
  <c r="D98" i="4"/>
  <c r="D99" i="4"/>
  <c r="D100" i="4"/>
  <c r="E32" i="4"/>
  <c r="E28" i="4"/>
  <c r="E21" i="4"/>
  <c r="E26" i="4"/>
  <c r="E23" i="4"/>
  <c r="E29" i="4"/>
  <c r="E25" i="4"/>
  <c r="E30" i="4"/>
  <c r="E27" i="4"/>
  <c r="E22" i="4"/>
  <c r="E33" i="4"/>
  <c r="E24" i="4"/>
  <c r="E31" i="4"/>
  <c r="D28" i="4"/>
  <c r="D21" i="4"/>
  <c r="D26" i="4"/>
  <c r="D23" i="4"/>
  <c r="D29" i="4"/>
  <c r="D25" i="4"/>
  <c r="D30" i="4"/>
  <c r="D27" i="4"/>
  <c r="D22" i="4"/>
  <c r="D33" i="4"/>
  <c r="D24" i="4"/>
  <c r="D31" i="4"/>
  <c r="E12" i="4"/>
  <c r="E13" i="4"/>
  <c r="E14" i="4"/>
  <c r="E15" i="4"/>
  <c r="E16" i="4"/>
  <c r="E17" i="4"/>
  <c r="D13" i="4"/>
  <c r="D14" i="4"/>
  <c r="D15" i="4"/>
  <c r="D16" i="4"/>
  <c r="D17" i="4"/>
  <c r="D90" i="4"/>
  <c r="D32" i="4"/>
  <c r="D12" i="4"/>
  <c r="E4" i="4"/>
  <c r="E5" i="4"/>
  <c r="E6" i="4"/>
  <c r="E7" i="4"/>
  <c r="E8" i="4"/>
  <c r="D5" i="4"/>
  <c r="D6" i="4"/>
  <c r="D7" i="4"/>
  <c r="D8" i="4"/>
  <c r="D4" i="4"/>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A2" i="3" a="1"/>
  <c r="A2" i="3"/>
  <c r="E2" i="2" l="1"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s="1"/>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626256-AA24-4CAA-91F9-9A0FBFB43E4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<sst xmlns="http://schemas.openxmlformats.org/spreadsheetml/2006/main" count="4644" uniqueCount="254">
  <si>
    <t>Date</t>
  </si>
  <si>
    <t>Receipt_ID</t>
  </si>
  <si>
    <t>Branch</t>
  </si>
  <si>
    <t>Item</t>
  </si>
  <si>
    <t>Category</t>
  </si>
  <si>
    <t>Quantity</t>
  </si>
  <si>
    <t>Unit_Price</t>
  </si>
  <si>
    <t>Payment_Method</t>
  </si>
  <si>
    <t>R1028</t>
  </si>
  <si>
    <t>Nairobi CBD</t>
  </si>
  <si>
    <t>Onions</t>
  </si>
  <si>
    <t>Produce</t>
  </si>
  <si>
    <t>Cash</t>
  </si>
  <si>
    <t>R1022</t>
  </si>
  <si>
    <t>Ngong Road</t>
  </si>
  <si>
    <t>Oil 2L</t>
  </si>
  <si>
    <t>Grocery</t>
  </si>
  <si>
    <t>R1006</t>
  </si>
  <si>
    <t xml:space="preserve">brown bread </t>
  </si>
  <si>
    <t>Bakery</t>
  </si>
  <si>
    <t>Card</t>
  </si>
  <si>
    <t>R1194</t>
  </si>
  <si>
    <t>Westlands</t>
  </si>
  <si>
    <t>Tomatoes</t>
  </si>
  <si>
    <t>R1026</t>
  </si>
  <si>
    <t>Cooking Oil</t>
  </si>
  <si>
    <t>R1186</t>
  </si>
  <si>
    <t>Thika Road</t>
  </si>
  <si>
    <t>Laundry Soap</t>
  </si>
  <si>
    <t/>
  </si>
  <si>
    <t>R1160</t>
  </si>
  <si>
    <t>Rice 5kg</t>
  </si>
  <si>
    <t>R1197</t>
  </si>
  <si>
    <t>Eastlands</t>
  </si>
  <si>
    <t>MILK</t>
  </si>
  <si>
    <t>Dairy</t>
  </si>
  <si>
    <t>R1093</t>
  </si>
  <si>
    <t>R1155</t>
  </si>
  <si>
    <t>Household</t>
  </si>
  <si>
    <t>R1176</t>
  </si>
  <si>
    <t>Sugar</t>
  </si>
  <si>
    <t>R1080</t>
  </si>
  <si>
    <t>Sugar 1kg</t>
  </si>
  <si>
    <t>Mobile</t>
  </si>
  <si>
    <t>R1054</t>
  </si>
  <si>
    <t>R1137</t>
  </si>
  <si>
    <t>R1035</t>
  </si>
  <si>
    <t>Eggs Tray</t>
  </si>
  <si>
    <t>R1174</t>
  </si>
  <si>
    <t>Shampoo</t>
  </si>
  <si>
    <t>Personal Care</t>
  </si>
  <si>
    <t>R1064</t>
  </si>
  <si>
    <t>Milk</t>
  </si>
  <si>
    <t>R1087</t>
  </si>
  <si>
    <t>SUGAR</t>
  </si>
  <si>
    <t>R1128</t>
  </si>
  <si>
    <t>Soap</t>
  </si>
  <si>
    <t>Bread</t>
  </si>
  <si>
    <t>R1000</t>
  </si>
  <si>
    <t>Rice</t>
  </si>
  <si>
    <t>R1061</t>
  </si>
  <si>
    <t>R1102</t>
  </si>
  <si>
    <t>Eggs</t>
  </si>
  <si>
    <t>R1005</t>
  </si>
  <si>
    <t>R1015</t>
  </si>
  <si>
    <t>R1171</t>
  </si>
  <si>
    <t>R1200</t>
  </si>
  <si>
    <t>R1105</t>
  </si>
  <si>
    <t>Milk 1L</t>
  </si>
  <si>
    <t>R1046</t>
  </si>
  <si>
    <t>R1025</t>
  </si>
  <si>
    <t>Salt</t>
  </si>
  <si>
    <t>R1042</t>
  </si>
  <si>
    <t>R1097</t>
  </si>
  <si>
    <t>R1169</t>
  </si>
  <si>
    <t xml:space="preserve">milk </t>
  </si>
  <si>
    <t>R1040</t>
  </si>
  <si>
    <t>R1103</t>
  </si>
  <si>
    <t>Toothpaste</t>
  </si>
  <si>
    <t>R1168</t>
  </si>
  <si>
    <t>R1002</t>
  </si>
  <si>
    <t>R1067</t>
  </si>
  <si>
    <t>R1139</t>
  </si>
  <si>
    <t>R1034</t>
  </si>
  <si>
    <t>R1053</t>
  </si>
  <si>
    <t>R1023</t>
  </si>
  <si>
    <t>R1041</t>
  </si>
  <si>
    <t>R1104</t>
  </si>
  <si>
    <t>White Bread</t>
  </si>
  <si>
    <t>R1068</t>
  </si>
  <si>
    <t>R1051</t>
  </si>
  <si>
    <t>R1009</t>
  </si>
  <si>
    <t>R1029</t>
  </si>
  <si>
    <t>R1178</t>
  </si>
  <si>
    <t>R1157</t>
  </si>
  <si>
    <t>R1110</t>
  </si>
  <si>
    <t>R1121</t>
  </si>
  <si>
    <t>Salt 500g</t>
  </si>
  <si>
    <t>R1062</t>
  </si>
  <si>
    <t>R1126</t>
  </si>
  <si>
    <t>R1199</t>
  </si>
  <si>
    <t>R1142</t>
  </si>
  <si>
    <t>R1152</t>
  </si>
  <si>
    <t>R1114</t>
  </si>
  <si>
    <t>R1196</t>
  </si>
  <si>
    <t>R1069</t>
  </si>
  <si>
    <t>R1180</t>
  </si>
  <si>
    <t>R1052</t>
  </si>
  <si>
    <t>R1099</t>
  </si>
  <si>
    <t>R1136</t>
  </si>
  <si>
    <t>R1086</t>
  </si>
  <si>
    <t>R1013</t>
  </si>
  <si>
    <t>R1063</t>
  </si>
  <si>
    <t>R1144</t>
  </si>
  <si>
    <t>R1101</t>
  </si>
  <si>
    <t>R1175</t>
  </si>
  <si>
    <t>R1017</t>
  </si>
  <si>
    <t>R1166</t>
  </si>
  <si>
    <t>R1145</t>
  </si>
  <si>
    <t>R1124</t>
  </si>
  <si>
    <t>R1179</t>
  </si>
  <si>
    <t>R1030</t>
  </si>
  <si>
    <t>R1045</t>
  </si>
  <si>
    <t>R1074</t>
  </si>
  <si>
    <t>R1122</t>
  </si>
  <si>
    <t>R1038</t>
  </si>
  <si>
    <t>R1076</t>
  </si>
  <si>
    <t>R1195</t>
  </si>
  <si>
    <t>R1141</t>
  </si>
  <si>
    <t>R1008</t>
  </si>
  <si>
    <t>R1073</t>
  </si>
  <si>
    <t>R1154</t>
  </si>
  <si>
    <t>R1150</t>
  </si>
  <si>
    <t>R1071</t>
  </si>
  <si>
    <t>R1089</t>
  </si>
  <si>
    <t>R1048</t>
  </si>
  <si>
    <t>R1031</t>
  </si>
  <si>
    <t>R1003</t>
  </si>
  <si>
    <t>R1165</t>
  </si>
  <si>
    <t>R1120</t>
  </si>
  <si>
    <t>R1191</t>
  </si>
  <si>
    <t>R1116</t>
  </si>
  <si>
    <t>R1011</t>
  </si>
  <si>
    <t>R1019</t>
  </si>
  <si>
    <t>R1172</t>
  </si>
  <si>
    <t>R1158</t>
  </si>
  <si>
    <t>R1075</t>
  </si>
  <si>
    <t>R1043</t>
  </si>
  <si>
    <t>R1149</t>
  </si>
  <si>
    <t>R1119</t>
  </si>
  <si>
    <t>R1123</t>
  </si>
  <si>
    <t>R1112</t>
  </si>
  <si>
    <t>R1135</t>
  </si>
  <si>
    <t>R1173</t>
  </si>
  <si>
    <t>R1056</t>
  </si>
  <si>
    <t>R1107</t>
  </si>
  <si>
    <t>R1092</t>
  </si>
  <si>
    <t>R1070</t>
  </si>
  <si>
    <t>R1033</t>
  </si>
  <si>
    <t>R1032</t>
  </si>
  <si>
    <t>R1131</t>
  </si>
  <si>
    <t>R1077</t>
  </si>
  <si>
    <t>R1016</t>
  </si>
  <si>
    <t>R1167</t>
  </si>
  <si>
    <t>R1039</t>
  </si>
  <si>
    <t>R1153</t>
  </si>
  <si>
    <t>R1057</t>
  </si>
  <si>
    <t>R1143</t>
  </si>
  <si>
    <t>R1007</t>
  </si>
  <si>
    <t>R1055</t>
  </si>
  <si>
    <t>R1198</t>
  </si>
  <si>
    <t>R1012</t>
  </si>
  <si>
    <t>R1001</t>
  </si>
  <si>
    <t>R1117</t>
  </si>
  <si>
    <t>R1134</t>
  </si>
  <si>
    <t>R1018</t>
  </si>
  <si>
    <t>R1115</t>
  </si>
  <si>
    <t>R1084</t>
  </si>
  <si>
    <t>R1184</t>
  </si>
  <si>
    <t>R1156</t>
  </si>
  <si>
    <t>R1049</t>
  </si>
  <si>
    <t>R1072</t>
  </si>
  <si>
    <t>R1095</t>
  </si>
  <si>
    <t>R1182</t>
  </si>
  <si>
    <t>R1127</t>
  </si>
  <si>
    <t>R1190</t>
  </si>
  <si>
    <t>R1132</t>
  </si>
  <si>
    <t>R1044</t>
  </si>
  <si>
    <t>R1010</t>
  </si>
  <si>
    <t>R1036</t>
  </si>
  <si>
    <t>R1159</t>
  </si>
  <si>
    <t>R1151</t>
  </si>
  <si>
    <t>R1004</t>
  </si>
  <si>
    <t>R1037</t>
  </si>
  <si>
    <t>R1088</t>
  </si>
  <si>
    <t>R1106</t>
  </si>
  <si>
    <t>R1082</t>
  </si>
  <si>
    <t>R1193</t>
  </si>
  <si>
    <t>R1129</t>
  </si>
  <si>
    <t>R1185</t>
  </si>
  <si>
    <t>R1058</t>
  </si>
  <si>
    <t>R1138</t>
  </si>
  <si>
    <t>R1081</t>
  </si>
  <si>
    <t>R1189</t>
  </si>
  <si>
    <t>R1140</t>
  </si>
  <si>
    <t>R1164</t>
  </si>
  <si>
    <t>R1027</t>
  </si>
  <si>
    <t>R1014</t>
  </si>
  <si>
    <t>R1096</t>
  </si>
  <si>
    <t>R1192</t>
  </si>
  <si>
    <t>R1021</t>
  </si>
  <si>
    <t>R1133</t>
  </si>
  <si>
    <t>R1059</t>
  </si>
  <si>
    <t>R1188</t>
  </si>
  <si>
    <t>R1050</t>
  </si>
  <si>
    <t>R1162</t>
  </si>
  <si>
    <t>R1177</t>
  </si>
  <si>
    <t>R1079</t>
  </si>
  <si>
    <t>R1187</t>
  </si>
  <si>
    <t>R1146</t>
  </si>
  <si>
    <t>R1118</t>
  </si>
  <si>
    <t>R1083</t>
  </si>
  <si>
    <t>R1066</t>
  </si>
  <si>
    <t>R1024</t>
  </si>
  <si>
    <t>R1047</t>
  </si>
  <si>
    <t>R1098</t>
  </si>
  <si>
    <t>R1147</t>
  </si>
  <si>
    <t>R1163</t>
  </si>
  <si>
    <t>R1091</t>
  </si>
  <si>
    <t>R1109</t>
  </si>
  <si>
    <t>R1125</t>
  </si>
  <si>
    <t>NAIROBI CBD</t>
  </si>
  <si>
    <t>NGONG ROAD</t>
  </si>
  <si>
    <t>WESTLANDS</t>
  </si>
  <si>
    <t>THIKA ROAD</t>
  </si>
  <si>
    <t>EASTLANDS</t>
  </si>
  <si>
    <t>Revenue</t>
  </si>
  <si>
    <t>Sum of Revenue</t>
  </si>
  <si>
    <t>Total Revenue</t>
  </si>
  <si>
    <t>Jan</t>
  </si>
  <si>
    <t>Feb</t>
  </si>
  <si>
    <t>Mar</t>
  </si>
  <si>
    <t>Apr</t>
  </si>
  <si>
    <t>May</t>
  </si>
  <si>
    <t>Jun</t>
  </si>
  <si>
    <t>Jul</t>
  </si>
  <si>
    <t>Aug</t>
  </si>
  <si>
    <t>Sept</t>
  </si>
  <si>
    <t>Oct</t>
  </si>
  <si>
    <t>Nov</t>
  </si>
  <si>
    <t xml:space="preserve">Months </t>
  </si>
  <si>
    <t>Tissue</t>
  </si>
  <si>
    <t>Total Rev</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</si>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</sst>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quot;$&quot;* #,##0.00_-;_-&quot;$&quot;* &quot;-&quot;??_-;_-@_-"/>
    <numFmt numFmtId="165" formatCode="&quot;$&quot;#,##0.00"/>
    <numFmt numFmtId="166" formatCode="&quot;$&quot;#,\k"/>
  </numFmts>
  <fonts count="4" x14ac:knownFonts="1">
    <font>
      <sz val="11"/>
      <color theme="1"/>
      <name val="Calibri"/>
      <family val="2"/>
      <scheme val="minor"/>
    </font>
    <font>
      <sz val="11"/>
      <color theme="1"/>
      <name val="Calibri"/>
      <family val="2"/>
      <scheme val="minor"/>
    </font>
    <font>
      <b/>
      <sz val="11"/>
      <color rgb="FF3F3F3F"/>
      <name val="Calibri"/>
      <family val="2"/>
      <scheme val="minor"/>
    </font>
    <font>
      <b/>
      <sz val="11"/>
      <color rgb="FF7030A0"/>
      <name val="Calibri"/>
      <family val="2"/>
      <scheme val="minor"/>
    </font>
  </fonts>
  <fills count="4">
    <fill>
      <patternFill patternType="none"/>
    </fill>
    <fill>
      <patternFill patternType="gray125"/>
    </fill>
    <fill>
      <patternFill patternType="solid">
        <fgColor rgb="FFF2F2F2"/>
      </patternFill>
    </fill>
    <fill>
      <patternFill patternType="solid">
        <fgColor theme="0" tint="-4.9989318521683403E-2"/>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164" fontId="1" fillId="0" borderId="0" applyFont="0" applyFill="0" applyBorder="0" applyAlignment="0" applyProtection="0"/>
    <xf numFmtId="0" fontId="2" fillId="2" borderId="1" applyNumberFormat="0" applyAlignment="0" applyProtection="0"/>
  </cellStyleXfs>
  <cellXfs count="9">
    <xf numFmtId="0" fontId="0" fillId="0" borderId="0" xfId="0"/>
    <xf numFmtId="14" fontId="0" fillId="0" borderId="0" xfId="0" applyNumberFormat="1"/>
    <xf numFmtId="165"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3" fillId="2" borderId="1" xfId="2" applyFont="1"/>
    <xf numFmtId="166" fontId="0" fillId="0" borderId="0" xfId="0" applyNumberFormat="1"/>
    <xf numFmtId="0" fontId="0" fillId="3" borderId="0" xfId="0" applyFill="1"/>
  </cellXfs>
  <cellStyles count="3">
    <cellStyle name="Currency" xfId="1" builtinId="4"/>
    <cellStyle name="Normal" xfId="0" builtinId="0"/>
    <cellStyle name="Output" xfId="2" builtinId="21"/>
  </cellStyles>
  <dxfs count="19">
    <dxf>
      <numFmt numFmtId="165" formatCode="&quot;$&quot;#,##0.00"/>
    </dxf>
    <dxf>
      <numFmt numFmtId="0" formatCode="General"/>
    </dxf>
    <dxf>
      <numFmt numFmtId="165" formatCode="&quot;$&quot;#,##0.00"/>
    </dxf>
    <dxf>
      <numFmt numFmtId="0" formatCode="General"/>
    </dxf>
    <dxf>
      <numFmt numFmtId="0" formatCode="General"/>
    </dxf>
    <dxf>
      <numFmt numFmtId="0" formatCode="General"/>
    </dxf>
    <dxf>
      <numFmt numFmtId="0" formatCode="General"/>
    </dxf>
    <dxf>
      <numFmt numFmtId="19" formatCode="dd/mm/yyyy"/>
    </dxf>
    <dxf>
      <numFmt numFmtId="166" formatCode="&quot;$&quot;#,\k"/>
    </dxf>
    <dxf>
      <numFmt numFmtId="166" formatCode="&quot;$&quot;#,\k"/>
    </dxf>
    <dxf>
      <numFmt numFmtId="166" formatCode="&quot;$&quot;#,\k"/>
    </dxf>
    <dxf>
      <numFmt numFmtId="166" formatCode="&quot;$&quot;#,\k"/>
    </dxf>
    <dxf>
      <numFmt numFmtId="166" formatCode="&quot;$&quot;#,\k"/>
    </dxf>
    <dxf>
      <numFmt numFmtId="166" formatCode="&quot;$&quot;#,\k"/>
    </dxf>
    <dxf>
      <numFmt numFmtId="166" formatCode="&quot;$&quot;#,\k"/>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2"/>
        </patternFill>
      </fill>
      <border diagonalUp="0" diagonalDown="0">
        <left/>
        <right/>
        <top/>
        <bottom/>
        <vertical/>
        <horizontal/>
      </border>
    </dxf>
  </dxfs>
  <tableStyles count="2" defaultTableStyle="TableStyleMedium2" defaultPivotStyle="PivotStyleLight16">
    <tableStyle name="SlicerStyleLight1 2" pivot="0" table="0" count="10" xr9:uid="{728454F4-C75F-43E4-AD5C-11F729D29B19}">
      <tableStyleElement type="wholeTable" dxfId="18"/>
      <tableStyleElement type="headerRow" dxfId="17"/>
    </tableStyle>
    <tableStyle name="SlicerStyleLight1 2 2" pivot="0" table="0" count="10" xr9:uid="{E08A6238-C14A-4EC4-9815-843A87F17CB8}">
      <tableStyleElement type="wholeTable" dxfId="16"/>
      <tableStyleElement type="headerRow" dxfId="15"/>
    </tableStyle>
  </tableStyles>
  <colors>
    <mruColors>
      <color rgb="FF720E4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Revenue by Branch</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lotArea>
      <c:layout>
        <c:manualLayout>
          <c:layoutTarget val="inner"/>
          <c:xMode val="edge"/>
          <c:yMode val="edge"/>
          <c:x val="2.4253472222222221E-2"/>
          <c:y val="0.17375909090909092"/>
          <c:w val="0.95149305555555552"/>
          <c:h val="0.6774439393939394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Pivot_Tables!$D$4:$D$8</c:f>
              <c:strCache>
                <c:ptCount val="5"/>
                <c:pt idx="0">
                  <c:v>EASTLANDS</c:v>
                </c:pt>
                <c:pt idx="1">
                  <c:v>NAIROBI CBD</c:v>
                </c:pt>
                <c:pt idx="2">
                  <c:v>NGONG ROAD</c:v>
                </c:pt>
                <c:pt idx="3">
                  <c:v>THIKA ROAD</c:v>
                </c:pt>
                <c:pt idx="4">
                  <c:v>WESTLANDS</c:v>
                </c:pt>
              </c:strCache>
            </c:strRef>
          </c:cat>
          <c:val>
            <c:numRef>
              <c:f>Pivot_Tables!$E$4:$E$8</c:f>
              <c:numCache>
                <c:formatCode>"$"#,\k</c:formatCode>
                <c:ptCount val="5"/>
                <c:pt idx="0">
                  <c:v>176604.05000000013</c:v>
                </c:pt>
                <c:pt idx="1">
                  <c:v>175508.50999999986</c:v>
                </c:pt>
                <c:pt idx="2">
                  <c:v>151945.72999999995</c:v>
                </c:pt>
                <c:pt idx="3">
                  <c:v>166520.34</c:v>
                </c:pt>
                <c:pt idx="4">
                  <c:v>179166.67999999996</c:v>
                </c:pt>
              </c:numCache>
            </c:numRef>
          </c:val>
          <c:extLst>
            <c:ext xmlns:c16="http://schemas.microsoft.com/office/drawing/2014/chart" uri="{C3380CC4-5D6E-409C-BE32-E72D297353CC}">
              <c16:uniqueId val="{00000000-1D2C-4108-B12B-47D2CEC09539}"/>
            </c:ext>
          </c:extLst>
        </c:ser>
        <c:dLbls>
          <c:dLblPos val="outEnd"/>
          <c:showLegendKey val="0"/>
          <c:showVal val="1"/>
          <c:showCatName val="0"/>
          <c:showSerName val="0"/>
          <c:showPercent val="0"/>
          <c:showBubbleSize val="0"/>
        </c:dLbls>
        <c:gapWidth val="219"/>
        <c:overlap val="-27"/>
        <c:axId val="791953759"/>
        <c:axId val="791946079"/>
      </c:barChart>
      <c:catAx>
        <c:axId val="7919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1946079"/>
        <c:crosses val="autoZero"/>
        <c:auto val="1"/>
        <c:lblAlgn val="ctr"/>
        <c:lblOffset val="100"/>
        <c:noMultiLvlLbl val="0"/>
      </c:catAx>
      <c:valAx>
        <c:axId val="791946079"/>
        <c:scaling>
          <c:orientation val="minMax"/>
        </c:scaling>
        <c:delete val="1"/>
        <c:axPos val="l"/>
        <c:numFmt formatCode="&quot;$&quot;#,\k" sourceLinked="1"/>
        <c:majorTickMark val="none"/>
        <c:minorTickMark val="none"/>
        <c:tickLblPos val="nextTo"/>
        <c:crossAx val="791953759"/>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 by Category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Pivot_Tables!$D$12:$D$17</c:f>
              <c:strCache>
                <c:ptCount val="6"/>
                <c:pt idx="0">
                  <c:v>Bakery</c:v>
                </c:pt>
                <c:pt idx="1">
                  <c:v>Dairy</c:v>
                </c:pt>
                <c:pt idx="2">
                  <c:v>Grocery</c:v>
                </c:pt>
                <c:pt idx="3">
                  <c:v>Household</c:v>
                </c:pt>
                <c:pt idx="4">
                  <c:v>Personal Care</c:v>
                </c:pt>
                <c:pt idx="5">
                  <c:v>Produce</c:v>
                </c:pt>
              </c:strCache>
            </c:strRef>
          </c:cat>
          <c:val>
            <c:numRef>
              <c:f>Pivot_Tables!$E$12:$E$17</c:f>
              <c:numCache>
                <c:formatCode>"$"#,\k</c:formatCode>
                <c:ptCount val="6"/>
                <c:pt idx="0">
                  <c:v>78728.970000000016</c:v>
                </c:pt>
                <c:pt idx="1">
                  <c:v>155365.6</c:v>
                </c:pt>
                <c:pt idx="2">
                  <c:v>81580.61</c:v>
                </c:pt>
                <c:pt idx="3">
                  <c:v>254618.83999999985</c:v>
                </c:pt>
                <c:pt idx="4">
                  <c:v>73813.329999999987</c:v>
                </c:pt>
                <c:pt idx="5">
                  <c:v>205637.95999999985</c:v>
                </c:pt>
              </c:numCache>
            </c:numRef>
          </c:val>
          <c:extLst>
            <c:ext xmlns:c16="http://schemas.microsoft.com/office/drawing/2014/chart" uri="{C3380CC4-5D6E-409C-BE32-E72D297353CC}">
              <c16:uniqueId val="{00000000-D1CB-4FEB-ADAC-0C9CE02A49FA}"/>
            </c:ext>
          </c:extLst>
        </c:ser>
        <c:dLbls>
          <c:dLblPos val="outEnd"/>
          <c:showLegendKey val="0"/>
          <c:showVal val="1"/>
          <c:showCatName val="0"/>
          <c:showSerName val="0"/>
          <c:showPercent val="0"/>
          <c:showBubbleSize val="0"/>
        </c:dLbls>
        <c:gapWidth val="115"/>
        <c:overlap val="-20"/>
        <c:axId val="791978719"/>
        <c:axId val="791979199"/>
      </c:barChart>
      <c:catAx>
        <c:axId val="7919787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1979199"/>
        <c:crosses val="autoZero"/>
        <c:auto val="1"/>
        <c:lblAlgn val="ctr"/>
        <c:lblOffset val="100"/>
        <c:noMultiLvlLbl val="0"/>
      </c:catAx>
      <c:valAx>
        <c:axId val="791979199"/>
        <c:scaling>
          <c:orientation val="minMax"/>
        </c:scaling>
        <c:delete val="1"/>
        <c:axPos val="b"/>
        <c:numFmt formatCode="&quot;$&quot;#,\k" sourceLinked="1"/>
        <c:majorTickMark val="none"/>
        <c:minorTickMark val="none"/>
        <c:tickLblPos val="nextTo"/>
        <c:crossAx val="791978719"/>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Revenue by Items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Pivot_Tables!$D$21:$D$33</c:f>
              <c:strCache>
                <c:ptCount val="13"/>
                <c:pt idx="0">
                  <c:v>Milk</c:v>
                </c:pt>
                <c:pt idx="1">
                  <c:v>Sugar</c:v>
                </c:pt>
                <c:pt idx="2">
                  <c:v>Salt</c:v>
                </c:pt>
                <c:pt idx="3">
                  <c:v>Rice</c:v>
                </c:pt>
                <c:pt idx="4">
                  <c:v>Cooking Oil</c:v>
                </c:pt>
                <c:pt idx="5">
                  <c:v>Bread</c:v>
                </c:pt>
                <c:pt idx="6">
                  <c:v>Eggs</c:v>
                </c:pt>
                <c:pt idx="7">
                  <c:v>Shampoo</c:v>
                </c:pt>
                <c:pt idx="8">
                  <c:v>Toothpaste</c:v>
                </c:pt>
                <c:pt idx="9">
                  <c:v>Tomatoes</c:v>
                </c:pt>
                <c:pt idx="10">
                  <c:v>Onions</c:v>
                </c:pt>
                <c:pt idx="11">
                  <c:v>Tissue</c:v>
                </c:pt>
                <c:pt idx="12">
                  <c:v>Laundry Soap</c:v>
                </c:pt>
              </c:strCache>
            </c:strRef>
          </c:cat>
          <c:val>
            <c:numRef>
              <c:f>Pivot_Tables!$E$21:$E$33</c:f>
              <c:numCache>
                <c:formatCode>"$"#,\k</c:formatCode>
                <c:ptCount val="13"/>
                <c:pt idx="0">
                  <c:v>155365.6</c:v>
                </c:pt>
                <c:pt idx="1">
                  <c:v>116690.80999999997</c:v>
                </c:pt>
                <c:pt idx="2">
                  <c:v>84557.079999999973</c:v>
                </c:pt>
                <c:pt idx="3">
                  <c:v>82662.290000000008</c:v>
                </c:pt>
                <c:pt idx="4">
                  <c:v>81580.61</c:v>
                </c:pt>
                <c:pt idx="5">
                  <c:v>78728.970000000016</c:v>
                </c:pt>
                <c:pt idx="6">
                  <c:v>53577.87</c:v>
                </c:pt>
                <c:pt idx="7">
                  <c:v>36964.910000000003</c:v>
                </c:pt>
                <c:pt idx="8">
                  <c:v>36848.42</c:v>
                </c:pt>
                <c:pt idx="9">
                  <c:v>35303.53</c:v>
                </c:pt>
                <c:pt idx="10">
                  <c:v>34094.270000000011</c:v>
                </c:pt>
                <c:pt idx="11">
                  <c:v>29198.609999999997</c:v>
                </c:pt>
                <c:pt idx="12">
                  <c:v>24172.340000000004</c:v>
                </c:pt>
              </c:numCache>
            </c:numRef>
          </c:val>
          <c:extLst>
            <c:ext xmlns:c16="http://schemas.microsoft.com/office/drawing/2014/chart" uri="{C3380CC4-5D6E-409C-BE32-E72D297353CC}">
              <c16:uniqueId val="{00000000-EABD-41C6-8DFC-CA7B571F6B63}"/>
            </c:ext>
          </c:extLst>
        </c:ser>
        <c:dLbls>
          <c:showLegendKey val="0"/>
          <c:showVal val="1"/>
          <c:showCatName val="0"/>
          <c:showSerName val="0"/>
          <c:showPercent val="0"/>
          <c:showBubbleSize val="0"/>
        </c:dLbls>
        <c:gapWidth val="150"/>
        <c:axId val="2048474927"/>
        <c:axId val="2048479247"/>
      </c:barChart>
      <c:catAx>
        <c:axId val="204847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8479247"/>
        <c:crosses val="autoZero"/>
        <c:auto val="1"/>
        <c:lblAlgn val="ctr"/>
        <c:lblOffset val="100"/>
        <c:noMultiLvlLbl val="0"/>
      </c:catAx>
      <c:valAx>
        <c:axId val="2048479247"/>
        <c:scaling>
          <c:orientation val="minMax"/>
        </c:scaling>
        <c:delete val="1"/>
        <c:axPos val="b"/>
        <c:numFmt formatCode="&quot;$&quot;#,\k" sourceLinked="1"/>
        <c:majorTickMark val="none"/>
        <c:minorTickMark val="none"/>
        <c:tickLblPos val="nextTo"/>
        <c:crossAx val="2048474927"/>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Revenue by Months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Pivot_Tables!$D$90:$D$100</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Pivot_Tables!$E$90:$E$100</c:f>
              <c:numCache>
                <c:formatCode>"$"#,\k</c:formatCode>
                <c:ptCount val="11"/>
                <c:pt idx="0">
                  <c:v>70185.440000000002</c:v>
                </c:pt>
                <c:pt idx="1">
                  <c:v>79951.069999999992</c:v>
                </c:pt>
                <c:pt idx="2">
                  <c:v>93550.78</c:v>
                </c:pt>
                <c:pt idx="3">
                  <c:v>67106.750000000015</c:v>
                </c:pt>
                <c:pt idx="4">
                  <c:v>56554.189999999995</c:v>
                </c:pt>
                <c:pt idx="5">
                  <c:v>68937.990000000005</c:v>
                </c:pt>
                <c:pt idx="6">
                  <c:v>71978.02</c:v>
                </c:pt>
                <c:pt idx="7">
                  <c:v>110909.28999999996</c:v>
                </c:pt>
                <c:pt idx="8">
                  <c:v>72711.16</c:v>
                </c:pt>
                <c:pt idx="9">
                  <c:v>87030.310000000027</c:v>
                </c:pt>
                <c:pt idx="10">
                  <c:v>70830.309999999983</c:v>
                </c:pt>
              </c:numCache>
            </c:numRef>
          </c:val>
          <c:smooth val="0"/>
          <c:extLst>
            <c:ext xmlns:c16="http://schemas.microsoft.com/office/drawing/2014/chart" uri="{C3380CC4-5D6E-409C-BE32-E72D297353CC}">
              <c16:uniqueId val="{00000000-B6DB-4EEE-BD83-CE391647DAE7}"/>
            </c:ext>
          </c:extLst>
        </c:ser>
        <c:dLbls>
          <c:dLblPos val="t"/>
          <c:showLegendKey val="0"/>
          <c:showVal val="1"/>
          <c:showCatName val="0"/>
          <c:showSerName val="0"/>
          <c:showPercent val="0"/>
          <c:showBubbleSize val="0"/>
        </c:dLbls>
        <c:marker val="1"/>
        <c:smooth val="0"/>
        <c:axId val="791986399"/>
        <c:axId val="791979679"/>
      </c:lineChart>
      <c:catAx>
        <c:axId val="79198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1979679"/>
        <c:crosses val="autoZero"/>
        <c:auto val="1"/>
        <c:lblAlgn val="ctr"/>
        <c:lblOffset val="100"/>
        <c:noMultiLvlLbl val="0"/>
      </c:catAx>
      <c:valAx>
        <c:axId val="791979679"/>
        <c:scaling>
          <c:orientation val="minMax"/>
        </c:scaling>
        <c:delete val="1"/>
        <c:axPos val="l"/>
        <c:numFmt formatCode="&quot;$&quot;#,\k" sourceLinked="1"/>
        <c:majorTickMark val="none"/>
        <c:minorTickMark val="none"/>
        <c:tickLblPos val="nextTo"/>
        <c:crossAx val="791986399"/>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 by Payment Method</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4C3-407E-BA48-46FBAD2C547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4C3-407E-BA48-46FBAD2C547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4C3-407E-BA48-46FBAD2C54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Pivot_Tables!$D$104:$D$106</c:f>
              <c:strCache>
                <c:ptCount val="3"/>
                <c:pt idx="0">
                  <c:v>Card</c:v>
                </c:pt>
                <c:pt idx="1">
                  <c:v>Cash</c:v>
                </c:pt>
                <c:pt idx="2">
                  <c:v>Mobile</c:v>
                </c:pt>
              </c:strCache>
            </c:strRef>
          </c:cat>
          <c:val>
            <c:numRef>
              <c:f>Pivot_Tables!$E$104:$E$106</c:f>
              <c:numCache>
                <c:formatCode>"$"#,\k</c:formatCode>
                <c:ptCount val="3"/>
                <c:pt idx="0">
                  <c:v>298086.84999999986</c:v>
                </c:pt>
                <c:pt idx="1">
                  <c:v>284861.61</c:v>
                </c:pt>
                <c:pt idx="2">
                  <c:v>266796.84999999986</c:v>
                </c:pt>
              </c:numCache>
            </c:numRef>
          </c:val>
          <c:extLst>
            <c:ext xmlns:c16="http://schemas.microsoft.com/office/drawing/2014/chart" uri="{C3380CC4-5D6E-409C-BE32-E72D297353CC}">
              <c16:uniqueId val="{00000006-04C3-407E-BA48-46FBAD2C547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168275</xdr:colOff>
      <xdr:row>6</xdr:row>
      <xdr:rowOff>68500</xdr:rowOff>
    </xdr:from>
    <xdr:to>
      <xdr:col>9</xdr:col>
      <xdr:colOff>441875</xdr:colOff>
      <xdr:row>23</xdr:row>
      <xdr:rowOff>30400</xdr:rowOff>
    </xdr:to>
    <xdr:graphicFrame macro="">
      <xdr:nvGraphicFramePr>
        <xdr:cNvPr id="2" name="Chart 1">
          <a:extLst>
            <a:ext uri="{FF2B5EF4-FFF2-40B4-BE49-F238E27FC236}">
              <a16:creationId xmlns:a16="http://schemas.microsoft.com/office/drawing/2014/main" id="{E9D61CEB-0367-43F0-A074-9D1D55DAB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133350</xdr:colOff>
      <xdr:row>6</xdr:row>
      <xdr:rowOff>68500</xdr:rowOff>
    </xdr:from>
    <xdr:to>
      <xdr:col>20</xdr:col>
      <xdr:colOff>463550</xdr:colOff>
      <xdr:row>23</xdr:row>
      <xdr:rowOff>30400</xdr:rowOff>
    </xdr:to>
    <xdr:graphicFrame macro="">
      <xdr:nvGraphicFramePr>
        <xdr:cNvPr id="3" name="Chart 2">
          <a:extLst>
            <a:ext uri="{FF2B5EF4-FFF2-40B4-BE49-F238E27FC236}">
              <a16:creationId xmlns:a16="http://schemas.microsoft.com/office/drawing/2014/main" id="{982AF3EA-3469-4D4E-8CF6-BE5CFAC0C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234950</xdr:colOff>
      <xdr:row>23</xdr:row>
      <xdr:rowOff>185737</xdr:rowOff>
    </xdr:from>
    <xdr:to>
      <xdr:col>9</xdr:col>
      <xdr:colOff>508550</xdr:colOff>
      <xdr:row>40</xdr:row>
      <xdr:rowOff>147637</xdr:rowOff>
    </xdr:to>
    <xdr:graphicFrame macro="">
      <xdr:nvGraphicFramePr>
        <xdr:cNvPr id="4" name="Chart 3">
          <a:extLst>
            <a:ext uri="{FF2B5EF4-FFF2-40B4-BE49-F238E27FC236}">
              <a16:creationId xmlns:a16="http://schemas.microsoft.com/office/drawing/2014/main" id="{425BCF91-0E2B-4FC3-BA5E-EE8473159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371475</xdr:colOff>
      <xdr:row>23</xdr:row>
      <xdr:rowOff>185737</xdr:rowOff>
    </xdr:from>
    <xdr:to>
      <xdr:col>23</xdr:col>
      <xdr:colOff>434975</xdr:colOff>
      <xdr:row>40</xdr:row>
      <xdr:rowOff>147637</xdr:rowOff>
    </xdr:to>
    <xdr:graphicFrame macro="">
      <xdr:nvGraphicFramePr>
        <xdr:cNvPr id="5" name="Chart 4">
          <a:extLst>
            <a:ext uri="{FF2B5EF4-FFF2-40B4-BE49-F238E27FC236}">
              <a16:creationId xmlns:a16="http://schemas.microsoft.com/office/drawing/2014/main" id="{523A6699-782B-4748-8BD9-25489416B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190499</xdr:colOff>
      <xdr:row>6</xdr:row>
      <xdr:rowOff>68500</xdr:rowOff>
    </xdr:from>
    <xdr:to>
      <xdr:col>26</xdr:col>
      <xdr:colOff>132674</xdr:colOff>
      <xdr:row>23</xdr:row>
      <xdr:rowOff>30400</xdr:rowOff>
    </xdr:to>
    <xdr:graphicFrame macro="">
      <xdr:nvGraphicFramePr>
        <xdr:cNvPr id="6" name="Chart 5">
          <a:extLst>
            <a:ext uri="{FF2B5EF4-FFF2-40B4-BE49-F238E27FC236}">
              <a16:creationId xmlns:a16="http://schemas.microsoft.com/office/drawing/2014/main" id="{50D343DB-4C92-463C-83D2-FEAFEAB17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381000</xdr:colOff>
      <xdr:row>0</xdr:row>
      <xdr:rowOff>76200</xdr:rowOff>
    </xdr:from>
    <xdr:to>
      <xdr:col>14</xdr:col>
      <xdr:colOff>604520</xdr:colOff>
      <xdr:row>1</xdr:row>
      <xdr:rowOff>142876</xdr:rowOff>
    </xdr:to>
    <xdr:sp macro="" textlink="">
      <xdr:nvSpPr>
        <xdr:cNvPr id="7" name="TextBox 6">
          <a:extLst>
            <a:ext uri="{FF2B5EF4-FFF2-40B4-BE49-F238E27FC236}">
              <a16:creationId xmlns:a16="http://schemas.microsoft.com/office/drawing/2014/main" id="{7AFB4CCF-4B87-F911-68CC-2F753AFCC724}"/>
            </a:ext>
          </a:extLst>
        </xdr:cNvPr>
        <xdr:cNvSpPr txBox="1"/>
      </xdr:nvSpPr>
      <xdr:spPr>
        <a:xfrm>
          <a:off x="7366000" y="76200"/>
          <a:ext cx="301752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002060"/>
              </a:solidFill>
              <a:latin typeface="Times New Roman" panose="02020603050405020304" pitchFamily="18" charset="0"/>
              <a:cs typeface="Times New Roman" panose="02020603050405020304" pitchFamily="18" charset="0"/>
            </a:rPr>
            <a:t>SALES PERFORMANCE DASHBOARD</a:t>
          </a:r>
          <a:endParaRPr lang="en-US" sz="12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342900</xdr:colOff>
      <xdr:row>3</xdr:row>
      <xdr:rowOff>39650</xdr:rowOff>
    </xdr:from>
    <xdr:to>
      <xdr:col>11</xdr:col>
      <xdr:colOff>352425</xdr:colOff>
      <xdr:row>5</xdr:row>
      <xdr:rowOff>70130</xdr:rowOff>
    </xdr:to>
    <mc:AlternateContent xmlns:mc="http://schemas.openxmlformats.org/markup-compatibility/2006">
      <mc:Choice xmlns:a14="http://schemas.microsoft.com/office/drawing/2010/main" Requires="a14">
        <xdr:graphicFrame macro="">
          <xdr:nvGraphicFramePr>
            <xdr:cNvPr id="8" name="Branch">
              <a:extLst>
                <a:ext uri="{FF2B5EF4-FFF2-40B4-BE49-F238E27FC236}">
                  <a16:creationId xmlns:a16="http://schemas.microsoft.com/office/drawing/2014/main" id="{D1A168F0-C44A-4A88-AD8F-E6CE88C9C63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2438400" y="611150"/>
              <a:ext cx="5597525" cy="411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542923</xdr:colOff>
      <xdr:row>3</xdr:row>
      <xdr:rowOff>39725</xdr:rowOff>
    </xdr:from>
    <xdr:to>
      <xdr:col>18</xdr:col>
      <xdr:colOff>638175</xdr:colOff>
      <xdr:row>5</xdr:row>
      <xdr:rowOff>70205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B8852295-8B61-42DC-BEDA-5D471030F9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26423" y="611225"/>
              <a:ext cx="4984752" cy="411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133350</xdr:colOff>
      <xdr:row>3</xdr:row>
      <xdr:rowOff>39650</xdr:rowOff>
    </xdr:from>
    <xdr:to>
      <xdr:col>22</xdr:col>
      <xdr:colOff>304800</xdr:colOff>
      <xdr:row>5</xdr:row>
      <xdr:rowOff>70130</xdr:rowOff>
    </xdr:to>
    <mc:AlternateContent xmlns:mc="http://schemas.openxmlformats.org/markup-compatibility/2006">
      <mc:Choice xmlns:a14="http://schemas.microsoft.com/office/drawing/2010/main" Requires="a14">
        <xdr:graphicFrame macro="">
          <xdr:nvGraphicFramePr>
            <xdr:cNvPr id="10" name="Payment_Method">
              <a:extLst>
                <a:ext uri="{FF2B5EF4-FFF2-40B4-BE49-F238E27FC236}">
                  <a16:creationId xmlns:a16="http://schemas.microsoft.com/office/drawing/2014/main" id="{D4A1935D-2922-449B-822F-8DD010CBBEB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3404850" y="611150"/>
              <a:ext cx="2266950" cy="411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352425</xdr:colOff>
      <xdr:row>1</xdr:row>
      <xdr:rowOff>67865</xdr:rowOff>
    </xdr:from>
    <xdr:to>
      <xdr:col>6</xdr:col>
      <xdr:colOff>409575</xdr:colOff>
      <xdr:row>2</xdr:row>
      <xdr:rowOff>179117</xdr:rowOff>
    </xdr:to>
    <xdr:sp macro="" textlink="Pivot_Tables!H5">
      <xdr:nvSpPr>
        <xdr:cNvPr id="13" name="Rectangle: Rounded Corners 12">
          <a:extLst>
            <a:ext uri="{FF2B5EF4-FFF2-40B4-BE49-F238E27FC236}">
              <a16:creationId xmlns:a16="http://schemas.microsoft.com/office/drawing/2014/main" id="{29B159FF-5AC3-4C07-826C-8999505B18B0}"/>
            </a:ext>
          </a:extLst>
        </xdr:cNvPr>
        <xdr:cNvSpPr/>
      </xdr:nvSpPr>
      <xdr:spPr>
        <a:xfrm>
          <a:off x="3844925" y="258365"/>
          <a:ext cx="755650" cy="30175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0E8530-A747-412B-9809-277335263DE2}" type="TxLink">
            <a:rPr lang="en-US" sz="1100" b="1" i="0" u="none" strike="noStrike">
              <a:solidFill>
                <a:schemeClr val="bg1"/>
              </a:solidFill>
              <a:latin typeface="Calibri"/>
              <a:ea typeface="Calibri"/>
              <a:cs typeface="Calibri"/>
            </a:rPr>
            <a:pPr algn="ctr"/>
            <a:t>$850k</a:t>
          </a:fld>
          <a:endParaRPr lang="en-US" sz="1100" b="1">
            <a:solidFill>
              <a:schemeClr val="bg1"/>
            </a:solidFill>
          </a:endParaRPr>
        </a:p>
      </xdr:txBody>
    </xdr:sp>
    <xdr:clientData/>
  </xdr:twoCellAnchor>
  <xdr:twoCellAnchor editAs="absolute">
    <xdr:from>
      <xdr:col>4</xdr:col>
      <xdr:colOff>0</xdr:colOff>
      <xdr:row>1</xdr:row>
      <xdr:rowOff>67490</xdr:rowOff>
    </xdr:from>
    <xdr:to>
      <xdr:col>5</xdr:col>
      <xdr:colOff>470400</xdr:colOff>
      <xdr:row>2</xdr:row>
      <xdr:rowOff>178742</xdr:rowOff>
    </xdr:to>
    <xdr:sp macro="" textlink="">
      <xdr:nvSpPr>
        <xdr:cNvPr id="14" name="Rectangle: Rounded Corners 13">
          <a:extLst>
            <a:ext uri="{FF2B5EF4-FFF2-40B4-BE49-F238E27FC236}">
              <a16:creationId xmlns:a16="http://schemas.microsoft.com/office/drawing/2014/main" id="{3EF2701D-AD91-4585-972D-4E89D73BAF9F}"/>
            </a:ext>
          </a:extLst>
        </xdr:cNvPr>
        <xdr:cNvSpPr/>
      </xdr:nvSpPr>
      <xdr:spPr>
        <a:xfrm>
          <a:off x="2794000" y="257990"/>
          <a:ext cx="1168900" cy="30175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a:t>
          </a:r>
          <a:r>
            <a:rPr lang="en-US" sz="1100" b="1" baseline="0"/>
            <a:t> Revenue: </a:t>
          </a:r>
          <a:endParaRPr lang="en-US" sz="1100" b="1"/>
        </a:p>
      </xdr:txBody>
    </xdr:sp>
    <xdr:clientData/>
  </xdr:twoCellAnchor>
  <xdr:twoCellAnchor editAs="absolute">
    <xdr:from>
      <xdr:col>16</xdr:col>
      <xdr:colOff>533400</xdr:colOff>
      <xdr:row>1</xdr:row>
      <xdr:rowOff>67490</xdr:rowOff>
    </xdr:from>
    <xdr:to>
      <xdr:col>20</xdr:col>
      <xdr:colOff>3000</xdr:colOff>
      <xdr:row>2</xdr:row>
      <xdr:rowOff>178742</xdr:rowOff>
    </xdr:to>
    <xdr:sp macro="" textlink="">
      <xdr:nvSpPr>
        <xdr:cNvPr id="15" name="Rectangle: Rounded Corners 14">
          <a:extLst>
            <a:ext uri="{FF2B5EF4-FFF2-40B4-BE49-F238E27FC236}">
              <a16:creationId xmlns:a16="http://schemas.microsoft.com/office/drawing/2014/main" id="{560B1697-B452-4150-9FC5-977AA0A7B9F2}"/>
            </a:ext>
          </a:extLst>
        </xdr:cNvPr>
        <xdr:cNvSpPr/>
      </xdr:nvSpPr>
      <xdr:spPr>
        <a:xfrm>
          <a:off x="11709400" y="257990"/>
          <a:ext cx="2263600" cy="30175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Highest</a:t>
          </a:r>
          <a:r>
            <a:rPr lang="en-US" sz="1100" b="1" baseline="0"/>
            <a:t> Revenue by Month:</a:t>
          </a:r>
          <a:endParaRPr lang="en-US" sz="1100" b="1"/>
        </a:p>
      </xdr:txBody>
    </xdr:sp>
    <xdr:clientData/>
  </xdr:twoCellAnchor>
  <xdr:twoCellAnchor editAs="absolute">
    <xdr:from>
      <xdr:col>19</xdr:col>
      <xdr:colOff>485775</xdr:colOff>
      <xdr:row>1</xdr:row>
      <xdr:rowOff>67865</xdr:rowOff>
    </xdr:from>
    <xdr:to>
      <xdr:col>20</xdr:col>
      <xdr:colOff>542925</xdr:colOff>
      <xdr:row>2</xdr:row>
      <xdr:rowOff>179117</xdr:rowOff>
    </xdr:to>
    <xdr:sp macro="" textlink="Pivot_Tables!H92">
      <xdr:nvSpPr>
        <xdr:cNvPr id="16" name="Rectangle: Rounded Corners 15">
          <a:extLst>
            <a:ext uri="{FF2B5EF4-FFF2-40B4-BE49-F238E27FC236}">
              <a16:creationId xmlns:a16="http://schemas.microsoft.com/office/drawing/2014/main" id="{01FE95ED-7360-469C-BAF0-6C98C422860B}"/>
            </a:ext>
          </a:extLst>
        </xdr:cNvPr>
        <xdr:cNvSpPr/>
      </xdr:nvSpPr>
      <xdr:spPr>
        <a:xfrm>
          <a:off x="13757275" y="258365"/>
          <a:ext cx="755650" cy="30175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08DD70-C3A7-4725-A74D-1CD12723A6D6}" type="TxLink">
            <a:rPr lang="en-US" sz="1100" b="1" i="0" u="none" strike="noStrike">
              <a:solidFill>
                <a:schemeClr val="bg1"/>
              </a:solidFill>
              <a:latin typeface="Calibri"/>
              <a:ea typeface="Calibri"/>
              <a:cs typeface="Calibri"/>
            </a:rPr>
            <a:pPr algn="ctr"/>
            <a:t>Aug</a:t>
          </a:fld>
          <a:endParaRPr lang="en-US" sz="1100" b="1">
            <a:solidFill>
              <a:schemeClr val="bg1"/>
            </a:solidFill>
          </a:endParaRPr>
        </a:p>
      </xdr:txBody>
    </xdr:sp>
    <xdr:clientData/>
  </xdr:twoCellAnchor>
  <xdr:twoCellAnchor editAs="absolute">
    <xdr:from>
      <xdr:col>20</xdr:col>
      <xdr:colOff>447675</xdr:colOff>
      <xdr:row>1</xdr:row>
      <xdr:rowOff>67865</xdr:rowOff>
    </xdr:from>
    <xdr:to>
      <xdr:col>21</xdr:col>
      <xdr:colOff>504825</xdr:colOff>
      <xdr:row>2</xdr:row>
      <xdr:rowOff>179117</xdr:rowOff>
    </xdr:to>
    <xdr:sp macro="" textlink="Pivot_Tables!H91">
      <xdr:nvSpPr>
        <xdr:cNvPr id="17" name="Rectangle: Rounded Corners 16">
          <a:extLst>
            <a:ext uri="{FF2B5EF4-FFF2-40B4-BE49-F238E27FC236}">
              <a16:creationId xmlns:a16="http://schemas.microsoft.com/office/drawing/2014/main" id="{B25D8992-92CB-41F3-9BD0-30717372C790}"/>
            </a:ext>
          </a:extLst>
        </xdr:cNvPr>
        <xdr:cNvSpPr/>
      </xdr:nvSpPr>
      <xdr:spPr>
        <a:xfrm>
          <a:off x="14417675" y="258365"/>
          <a:ext cx="755650" cy="30175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0982E-F3BD-4749-9223-E37A388C76DB}" type="TxLink">
            <a:rPr lang="en-US" sz="1100" b="1" i="0" u="none" strike="noStrike">
              <a:solidFill>
                <a:schemeClr val="bg1"/>
              </a:solidFill>
              <a:latin typeface="Calibri"/>
              <a:ea typeface="Calibri"/>
              <a:cs typeface="Calibri"/>
            </a:rPr>
            <a:pPr algn="ctr"/>
            <a:t>$111k</a:t>
          </a:fld>
          <a:endParaRPr lang="en-US" sz="11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466725</xdr:colOff>
      <xdr:row>83</xdr:row>
      <xdr:rowOff>114300</xdr:rowOff>
    </xdr:from>
    <xdr:to>
      <xdr:col>15</xdr:col>
      <xdr:colOff>466725</xdr:colOff>
      <xdr:row>93</xdr:row>
      <xdr:rowOff>9525</xdr:rowOff>
    </xdr:to>
    <mc:AlternateContent xmlns:mc="http://schemas.openxmlformats.org/markup-compatibility/2006" xmlns:a14="http://schemas.microsoft.com/office/drawing/2010/main">
      <mc:Choice Requires="a14">
        <xdr:graphicFrame macro="">
          <xdr:nvGraphicFramePr>
            <xdr:cNvPr id="18" name="Months ">
              <a:extLst>
                <a:ext uri="{FF2B5EF4-FFF2-40B4-BE49-F238E27FC236}">
                  <a16:creationId xmlns:a16="http://schemas.microsoft.com/office/drawing/2014/main" id="{CE295F42-AC52-F781-B26B-1782C90B7050}"/>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9886950" y="1592580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5.873966087966" createdVersion="8" refreshedVersion="8" minRefreshableVersion="3" recordCount="500" xr:uid="{F1B40AC6-3664-4C28-953A-100978F17EF6}">
  <cacheSource type="worksheet">
    <worksheetSource name="Clean_data"/>
  </cacheSource>
  <cacheFields count="11">
    <cacheField name="Date" numFmtId="14">
      <sharedItems containsSemiMixedTypes="0" containsNonDate="0" containsDate="1" containsString="0" minDate="2024-01-02T00:00:00" maxDate="2024-11-27T00:00:00" count="259">
        <d v="2024-11-23T00:00:00"/>
        <d v="2024-10-06T00:00:00"/>
        <d v="2024-11-04T00:00:00"/>
        <d v="2024-01-04T00:00:00"/>
        <d v="2024-06-21T00:00:00"/>
        <d v="2024-01-23T00:00:00"/>
        <d v="2024-05-30T00:00:00"/>
        <d v="2024-04-26T00:00:00"/>
        <d v="2024-11-21T00:00:00"/>
        <d v="2024-02-06T00:00:00"/>
        <d v="2024-01-17T00:00:00"/>
        <d v="2024-06-10T00:00:00"/>
        <d v="2024-10-14T00:00:00"/>
        <d v="2024-04-22T00:00:00"/>
        <d v="2024-03-22T00:00:00"/>
        <d v="2024-09-27T00:00:00"/>
        <d v="2024-11-24T00:00:00"/>
        <d v="2024-05-14T00:00:00"/>
        <d v="2024-09-16T00:00:00"/>
        <d v="2024-09-28T00:00:00"/>
        <d v="2024-06-06T00:00:00"/>
        <d v="2024-02-05T00:00:00"/>
        <d v="2024-06-08T00:00:00"/>
        <d v="2024-06-22T00:00:00"/>
        <d v="2024-11-19T00:00:00"/>
        <d v="2024-05-22T00:00:00"/>
        <d v="2024-05-04T00:00:00"/>
        <d v="2024-08-04T00:00:00"/>
        <d v="2024-07-25T00:00:00"/>
        <d v="2024-10-08T00:00:00"/>
        <d v="2024-05-01T00:00:00"/>
        <d v="2024-03-25T00:00:00"/>
        <d v="2024-10-11T00:00:00"/>
        <d v="2024-10-04T00:00:00"/>
        <d v="2024-04-30T00:00:00"/>
        <d v="2024-08-02T00:00:00"/>
        <d v="2024-06-09T00:00:00"/>
        <d v="2024-02-07T00:00:00"/>
        <d v="2024-08-12T00:00:00"/>
        <d v="2024-02-23T00:00:00"/>
        <d v="2024-11-05T00:00:00"/>
        <d v="2024-01-27T00:00:00"/>
        <d v="2024-03-17T00:00:00"/>
        <d v="2024-10-13T00:00:00"/>
        <d v="2024-03-31T00:00:00"/>
        <d v="2024-05-07T00:00:00"/>
        <d v="2024-04-23T00:00:00"/>
        <d v="2024-04-08T00:00:00"/>
        <d v="2024-09-17T00:00:00"/>
        <d v="2024-05-15T00:00:00"/>
        <d v="2024-09-18T00:00:00"/>
        <d v="2024-09-23T00:00:00"/>
        <d v="2024-11-15T00:00:00"/>
        <d v="2024-03-30T00:00:00"/>
        <d v="2024-04-17T00:00:00"/>
        <d v="2024-06-20T00:00:00"/>
        <d v="2024-01-24T00:00:00"/>
        <d v="2024-07-15T00:00:00"/>
        <d v="2024-02-24T00:00:00"/>
        <d v="2024-01-26T00:00:00"/>
        <d v="2024-10-07T00:00:00"/>
        <d v="2024-05-21T00:00:00"/>
        <d v="2024-03-19T00:00:00"/>
        <d v="2024-02-01T00:00:00"/>
        <d v="2024-10-21T00:00:00"/>
        <d v="2024-01-15T00:00:00"/>
        <d v="2024-11-14T00:00:00"/>
        <d v="2024-08-07T00:00:00"/>
        <d v="2024-06-16T00:00:00"/>
        <d v="2024-10-03T00:00:00"/>
        <d v="2024-01-16T00:00:00"/>
        <d v="2024-02-28T00:00:00"/>
        <d v="2024-07-11T00:00:00"/>
        <d v="2024-06-03T00:00:00"/>
        <d v="2024-07-08T00:00:00"/>
        <d v="2024-09-24T00:00:00"/>
        <d v="2024-10-30T00:00:00"/>
        <d v="2024-08-25T00:00:00"/>
        <d v="2024-04-03T00:00:00"/>
        <d v="2024-01-09T00:00:00"/>
        <d v="2024-07-07T00:00:00"/>
        <d v="2024-06-29T00:00:00"/>
        <d v="2024-10-28T00:00:00"/>
        <d v="2024-07-03T00:00:00"/>
        <d v="2024-10-10T00:00:00"/>
        <d v="2024-08-28T00:00:00"/>
        <d v="2024-09-01T00:00:00"/>
        <d v="2024-03-18T00:00:00"/>
        <d v="2024-08-01T00:00:00"/>
        <d v="2024-08-14T00:00:00"/>
        <d v="2024-02-20T00:00:00"/>
        <d v="2024-03-29T00:00:00"/>
        <d v="2024-05-29T00:00:00"/>
        <d v="2024-04-29T00:00:00"/>
        <d v="2024-10-18T00:00:00"/>
        <d v="2024-05-19T00:00:00"/>
        <d v="2024-06-14T00:00:00"/>
        <d v="2024-09-10T00:00:00"/>
        <d v="2024-02-29T00:00:00"/>
        <d v="2024-01-28T00:00:00"/>
        <d v="2024-09-05T00:00:00"/>
        <d v="2024-10-09T00:00:00"/>
        <d v="2024-03-01T00:00:00"/>
        <d v="2024-09-04T00:00:00"/>
        <d v="2024-09-07T00:00:00"/>
        <d v="2024-07-12T00:00:00"/>
        <d v="2024-07-29T00:00:00"/>
        <d v="2024-08-13T00:00:00"/>
        <d v="2024-03-20T00:00:00"/>
        <d v="2024-06-17T00:00:00"/>
        <d v="2024-01-19T00:00:00"/>
        <d v="2024-01-29T00:00:00"/>
        <d v="2024-04-02T00:00:00"/>
        <d v="2024-09-11T00:00:00"/>
        <d v="2024-01-05T00:00:00"/>
        <d v="2024-10-27T00:00:00"/>
        <d v="2024-05-31T00:00:00"/>
        <d v="2024-04-07T00:00:00"/>
        <d v="2024-06-07T00:00:00"/>
        <d v="2024-07-06T00:00:00"/>
        <d v="2024-04-25T00:00:00"/>
        <d v="2024-10-01T00:00:00"/>
        <d v="2024-02-25T00:00:00"/>
        <d v="2024-11-08T00:00:00"/>
        <d v="2024-10-02T00:00:00"/>
        <d v="2024-07-22T00:00:00"/>
        <d v="2024-11-01T00:00:00"/>
        <d v="2024-01-14T00:00:00"/>
        <d v="2024-07-04T00:00:00"/>
        <d v="2024-08-06T00:00:00"/>
        <d v="2024-03-16T00:00:00"/>
        <d v="2024-07-14T00:00:00"/>
        <d v="2024-08-20T00:00:00"/>
        <d v="2024-07-10T00:00:00"/>
        <d v="2024-07-09T00:00:00"/>
        <d v="2024-03-03T00:00:00"/>
        <d v="2024-05-27T00:00:00"/>
        <d v="2024-09-03T00:00:00"/>
        <d v="2024-05-16T00:00:00"/>
        <d v="2024-03-14T00:00:00"/>
        <d v="2024-06-15T00:00:00"/>
        <d v="2024-11-12T00:00:00"/>
        <d v="2024-07-31T00:00:00"/>
        <d v="2024-03-02T00:00:00"/>
        <d v="2024-04-27T00:00:00"/>
        <d v="2024-01-10T00:00:00"/>
        <d v="2024-07-24T00:00:00"/>
        <d v="2024-03-27T00:00:00"/>
        <d v="2024-06-27T00:00:00"/>
        <d v="2024-08-17T00:00:00"/>
        <d v="2024-02-09T00:00:00"/>
        <d v="2024-01-22T00:00:00"/>
        <d v="2024-07-17T00:00:00"/>
        <d v="2024-02-03T00:00:00"/>
        <d v="2024-07-19T00:00:00"/>
        <d v="2024-08-15T00:00:00"/>
        <d v="2024-05-08T00:00:00"/>
        <d v="2024-03-04T00:00:00"/>
        <d v="2024-08-11T00:00:00"/>
        <d v="2024-09-14T00:00:00"/>
        <d v="2024-03-12T00:00:00"/>
        <d v="2024-04-20T00:00:00"/>
        <d v="2024-02-26T00:00:00"/>
        <d v="2024-02-13T00:00:00"/>
        <d v="2024-07-18T00:00:00"/>
        <d v="2024-07-01T00:00:00"/>
        <d v="2024-03-09T00:00:00"/>
        <d v="2024-08-22T00:00:00"/>
        <d v="2024-07-23T00:00:00"/>
        <d v="2024-08-16T00:00:00"/>
        <d v="2024-09-19T00:00:00"/>
        <d v="2024-01-18T00:00:00"/>
        <d v="2024-04-05T00:00:00"/>
        <d v="2024-04-19T00:00:00"/>
        <d v="2024-08-19T00:00:00"/>
        <d v="2024-04-12T00:00:00"/>
        <d v="2024-09-26T00:00:00"/>
        <d v="2024-08-18T00:00:00"/>
        <d v="2024-09-22T00:00:00"/>
        <d v="2024-11-16T00:00:00"/>
        <d v="2024-10-24T00:00:00"/>
        <d v="2024-10-15T00:00:00"/>
        <d v="2024-11-06T00:00:00"/>
        <d v="2024-03-07T00:00:00"/>
        <d v="2024-09-12T00:00:00"/>
        <d v="2024-09-15T00:00:00"/>
        <d v="2024-04-09T00:00:00"/>
        <d v="2024-05-23T00:00:00"/>
        <d v="2024-06-02T00:00:00"/>
        <d v="2024-08-31T00:00:00"/>
        <d v="2024-11-18T00:00:00"/>
        <d v="2024-07-13T00:00:00"/>
        <d v="2024-11-09T00:00:00"/>
        <d v="2024-06-30T00:00:00"/>
        <d v="2024-06-01T00:00:00"/>
        <d v="2024-07-21T00:00:00"/>
        <d v="2024-08-29T00:00:00"/>
        <d v="2024-02-15T00:00:00"/>
        <d v="2024-05-28T00:00:00"/>
        <d v="2024-02-27T00:00:00"/>
        <d v="2024-02-11T00:00:00"/>
        <d v="2024-11-26T00:00:00"/>
        <d v="2024-04-24T00:00:00"/>
        <d v="2024-01-30T00:00:00"/>
        <d v="2024-04-14T00:00:00"/>
        <d v="2024-01-08T00:00:00"/>
        <d v="2024-09-30T00:00:00"/>
        <d v="2024-08-23T00:00:00"/>
        <d v="2024-01-25T00:00:00"/>
        <d v="2024-11-11T00:00:00"/>
        <d v="2024-04-01T00:00:00"/>
        <d v="2024-06-18T00:00:00"/>
        <d v="2024-09-13T00:00:00"/>
        <d v="2024-11-10T00:00:00"/>
        <d v="2024-11-20T00:00:00"/>
        <d v="2024-11-02T00:00:00"/>
        <d v="2024-10-31T00:00:00"/>
        <d v="2024-06-19T00:00:00"/>
        <d v="2024-03-10T00:00:00"/>
        <d v="2024-06-12T00:00:00"/>
        <d v="2024-07-20T00:00:00"/>
        <d v="2024-04-15T00:00:00"/>
        <d v="2024-08-24T00:00:00"/>
        <d v="2024-02-12T00:00:00"/>
        <d v="2024-05-17T00:00:00"/>
        <d v="2024-09-29T00:00:00"/>
        <d v="2024-10-20T00:00:00"/>
        <d v="2024-05-06T00:00:00"/>
        <d v="2024-03-21T00:00:00"/>
        <d v="2024-02-16T00:00:00"/>
        <d v="2024-02-22T00:00:00"/>
        <d v="2024-02-21T00:00:00"/>
        <d v="2024-11-07T00:00:00"/>
        <d v="2024-02-04T00:00:00"/>
        <d v="2024-11-17T00:00:00"/>
        <d v="2024-06-26T00:00:00"/>
        <d v="2024-09-21T00:00:00"/>
        <d v="2024-03-13T00:00:00"/>
        <d v="2024-02-08T00:00:00"/>
        <d v="2024-05-13T00:00:00"/>
        <d v="2024-04-13T00:00:00"/>
        <d v="2024-07-27T00:00:00"/>
        <d v="2024-03-06T00:00:00"/>
        <d v="2024-10-05T00:00:00"/>
        <d v="2024-10-16T00:00:00"/>
        <d v="2024-07-02T00:00:00"/>
        <d v="2024-04-06T00:00:00"/>
        <d v="2024-10-17T00:00:00"/>
        <d v="2024-03-26T00:00:00"/>
        <d v="2024-10-22T00:00:00"/>
        <d v="2024-08-08T00:00:00"/>
        <d v="2024-02-19T00:00:00"/>
        <d v="2024-01-02T00:00:00"/>
        <d v="2024-03-28T00:00:00"/>
        <d v="2024-07-30T00:00:00"/>
        <d v="2024-08-10T00:00:00"/>
        <d v="2024-01-07T00:00:00"/>
        <d v="2024-05-26T00:00:00"/>
        <d v="2024-08-30T00:00:00"/>
      </sharedItems>
      <fieldGroup par="10"/>
    </cacheField>
    <cacheField name="Receipt_ID" numFmtId="0">
      <sharedItems/>
    </cacheField>
    <cacheField name="Branch" numFmtId="0">
      <sharedItems count="5">
        <s v="NAIROBI CBD"/>
        <s v="NGONG ROAD"/>
        <s v="WESTLANDS"/>
        <s v="THIKA ROAD"/>
        <s v="EASTLANDS"/>
      </sharedItems>
    </cacheField>
    <cacheField name="Item" numFmtId="0">
      <sharedItems count="14">
        <s v="Onions"/>
        <s v="Cooking Oil"/>
        <s v="Bread"/>
        <s v="Tomatoes"/>
        <s v="Laundry Soap"/>
        <s v="Rice"/>
        <s v="Milk"/>
        <s v="Sugar"/>
        <s v="Eggs"/>
        <s v="Shampoo"/>
        <s v="Tissue"/>
        <s v="Salt"/>
        <s v="Toothpaste"/>
        <s v="Soap" u="1"/>
      </sharedItems>
    </cacheField>
    <cacheField name="Category" numFmtId="0">
      <sharedItems count="6">
        <s v="Produce"/>
        <s v="Grocery"/>
        <s v="Bakery"/>
        <s v="Household"/>
        <s v="Dairy"/>
        <s v="Personal Care"/>
      </sharedItems>
    </cacheField>
    <cacheField name="Quantity" numFmtId="0">
      <sharedItems containsSemiMixedTypes="0" containsString="0" containsNumber="1" containsInteger="1" minValue="1" maxValue="10"/>
    </cacheField>
    <cacheField name="Unit_Price" numFmtId="165">
      <sharedItems containsSemiMixedTypes="0" containsString="0" containsNumber="1" minValue="50.38" maxValue="598.78"/>
    </cacheField>
    <cacheField name="Payment_Method" numFmtId="0">
      <sharedItems count="3">
        <s v="Cash"/>
        <s v="Card"/>
        <s v="Mobile"/>
      </sharedItems>
    </cacheField>
    <cacheField name="Revenue" numFmtId="165">
      <sharedItems containsSemiMixedTypes="0" containsString="0" containsNumber="1" minValue="51.95" maxValue="5978.5"/>
    </cacheField>
    <cacheField name="Days (Date)" numFmtId="0" databaseField="0">
      <fieldGroup base="0">
        <rangePr groupBy="days" startDate="2024-01-02T00:00:00" endDate="2024-11-27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1/2024"/>
        </groupItems>
      </fieldGroup>
    </cacheField>
    <cacheField name="Months (Date)" numFmtId="0" databaseField="0">
      <fieldGroup base="0">
        <rangePr groupBy="months" startDate="2024-01-02T00:00:00" endDate="2024-11-27T00:00:00"/>
        <groupItems count="14">
          <s v="&lt;02/01/2024"/>
          <s v="Jan"/>
          <s v="Feb"/>
          <s v="Mar"/>
          <s v="Apr"/>
          <s v="May"/>
          <s v="Jun"/>
          <s v="Jul"/>
          <s v="Aug"/>
          <s v="Sept"/>
          <s v="Oct"/>
          <s v="Nov"/>
          <s v="Dec"/>
          <s v="&gt;27/11/2024"/>
        </groupItems>
      </fieldGroup>
    </cacheField>
  </cacheFields>
  <extLst>
    <ext xmlns:x14="http://schemas.microsoft.com/office/spreadsheetml/2009/9/main" uri="{725AE2AE-9491-48be-B2B4-4EB974FC3084}">
      <x14:pivotCacheDefinition pivotCacheId="1943911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R1028"/>
    <x v="0"/>
    <x v="0"/>
    <x v="0"/>
    <n v="5"/>
    <n v="184.69"/>
    <x v="0"/>
    <n v="923.45"/>
  </r>
  <r>
    <x v="1"/>
    <s v="R1022"/>
    <x v="1"/>
    <x v="1"/>
    <x v="1"/>
    <n v="1"/>
    <n v="66.39"/>
    <x v="0"/>
    <n v="66.39"/>
  </r>
  <r>
    <x v="2"/>
    <s v="R1006"/>
    <x v="1"/>
    <x v="2"/>
    <x v="2"/>
    <n v="9"/>
    <n v="280.74"/>
    <x v="1"/>
    <n v="2526.66"/>
  </r>
  <r>
    <x v="3"/>
    <s v="R1194"/>
    <x v="2"/>
    <x v="3"/>
    <x v="0"/>
    <n v="7"/>
    <n v="237.14"/>
    <x v="0"/>
    <n v="1659.98"/>
  </r>
  <r>
    <x v="4"/>
    <s v="R1026"/>
    <x v="0"/>
    <x v="1"/>
    <x v="1"/>
    <n v="2"/>
    <n v="247.44"/>
    <x v="1"/>
    <n v="494.88"/>
  </r>
  <r>
    <x v="5"/>
    <s v="R1186"/>
    <x v="3"/>
    <x v="4"/>
    <x v="3"/>
    <n v="1"/>
    <n v="585.21"/>
    <x v="1"/>
    <n v="585.21"/>
  </r>
  <r>
    <x v="6"/>
    <s v="R1160"/>
    <x v="1"/>
    <x v="5"/>
    <x v="0"/>
    <n v="10"/>
    <n v="155.76"/>
    <x v="0"/>
    <n v="1557.6"/>
  </r>
  <r>
    <x v="7"/>
    <s v="R1197"/>
    <x v="4"/>
    <x v="6"/>
    <x v="4"/>
    <n v="4"/>
    <n v="526.57000000000005"/>
    <x v="1"/>
    <n v="2106.2800000000002"/>
  </r>
  <r>
    <x v="8"/>
    <s v="R1093"/>
    <x v="2"/>
    <x v="5"/>
    <x v="0"/>
    <n v="6"/>
    <n v="165.23"/>
    <x v="1"/>
    <n v="991.37999999999988"/>
  </r>
  <r>
    <x v="9"/>
    <s v="R1155"/>
    <x v="2"/>
    <x v="4"/>
    <x v="3"/>
    <n v="4"/>
    <n v="139.87"/>
    <x v="1"/>
    <n v="559.48"/>
  </r>
  <r>
    <x v="0"/>
    <s v="R1176"/>
    <x v="1"/>
    <x v="7"/>
    <x v="3"/>
    <n v="6"/>
    <n v="513.57000000000005"/>
    <x v="0"/>
    <n v="3081.42"/>
  </r>
  <r>
    <x v="10"/>
    <s v="R1080"/>
    <x v="3"/>
    <x v="7"/>
    <x v="3"/>
    <n v="2"/>
    <n v="166.04"/>
    <x v="2"/>
    <n v="332.08"/>
  </r>
  <r>
    <x v="11"/>
    <s v="R1054"/>
    <x v="3"/>
    <x v="1"/>
    <x v="1"/>
    <n v="8"/>
    <n v="128.58000000000001"/>
    <x v="0"/>
    <n v="1028.6400000000001"/>
  </r>
  <r>
    <x v="12"/>
    <s v="R1137"/>
    <x v="4"/>
    <x v="0"/>
    <x v="0"/>
    <n v="10"/>
    <n v="285.64"/>
    <x v="2"/>
    <n v="2856.3999999999996"/>
  </r>
  <r>
    <x v="13"/>
    <s v="R1035"/>
    <x v="1"/>
    <x v="8"/>
    <x v="0"/>
    <n v="2"/>
    <n v="465.68"/>
    <x v="0"/>
    <n v="931.36"/>
  </r>
  <r>
    <x v="14"/>
    <s v="R1174"/>
    <x v="3"/>
    <x v="9"/>
    <x v="5"/>
    <n v="2"/>
    <n v="261.62"/>
    <x v="2"/>
    <n v="523.24"/>
  </r>
  <r>
    <x v="15"/>
    <s v="R1064"/>
    <x v="1"/>
    <x v="6"/>
    <x v="4"/>
    <n v="2"/>
    <n v="424.94"/>
    <x v="2"/>
    <n v="849.88"/>
  </r>
  <r>
    <x v="16"/>
    <s v="R1087"/>
    <x v="0"/>
    <x v="7"/>
    <x v="3"/>
    <n v="7"/>
    <n v="136.99"/>
    <x v="0"/>
    <n v="958.93000000000006"/>
  </r>
  <r>
    <x v="17"/>
    <s v="R1128"/>
    <x v="2"/>
    <x v="10"/>
    <x v="3"/>
    <n v="2"/>
    <n v="528.79"/>
    <x v="1"/>
    <n v="1057.58"/>
  </r>
  <r>
    <x v="18"/>
    <s v="R1155"/>
    <x v="2"/>
    <x v="2"/>
    <x v="2"/>
    <n v="6"/>
    <n v="469.38"/>
    <x v="2"/>
    <n v="2816.2799999999997"/>
  </r>
  <r>
    <x v="19"/>
    <s v="R1000"/>
    <x v="1"/>
    <x v="5"/>
    <x v="0"/>
    <n v="8"/>
    <n v="60.71"/>
    <x v="1"/>
    <n v="485.68"/>
  </r>
  <r>
    <x v="20"/>
    <s v="R1061"/>
    <x v="0"/>
    <x v="7"/>
    <x v="3"/>
    <n v="10"/>
    <n v="570.82000000000005"/>
    <x v="0"/>
    <n v="5708.2000000000007"/>
  </r>
  <r>
    <x v="21"/>
    <s v="R1194"/>
    <x v="1"/>
    <x v="2"/>
    <x v="2"/>
    <n v="3"/>
    <n v="412.86"/>
    <x v="2"/>
    <n v="1238.58"/>
  </r>
  <r>
    <x v="15"/>
    <s v="R1155"/>
    <x v="3"/>
    <x v="2"/>
    <x v="2"/>
    <n v="9"/>
    <n v="465.4"/>
    <x v="2"/>
    <n v="4188.5999999999995"/>
  </r>
  <r>
    <x v="22"/>
    <s v="R1102"/>
    <x v="4"/>
    <x v="8"/>
    <x v="0"/>
    <n v="9"/>
    <n v="298.32"/>
    <x v="0"/>
    <n v="2684.88"/>
  </r>
  <r>
    <x v="23"/>
    <s v="R1005"/>
    <x v="1"/>
    <x v="4"/>
    <x v="3"/>
    <n v="4"/>
    <n v="373.64"/>
    <x v="0"/>
    <n v="1494.56"/>
  </r>
  <r>
    <x v="24"/>
    <s v="R1015"/>
    <x v="2"/>
    <x v="6"/>
    <x v="4"/>
    <n v="1"/>
    <n v="522.79999999999995"/>
    <x v="0"/>
    <n v="522.79999999999995"/>
  </r>
  <r>
    <x v="25"/>
    <s v="R1171"/>
    <x v="3"/>
    <x v="2"/>
    <x v="2"/>
    <n v="9"/>
    <n v="122.77"/>
    <x v="2"/>
    <n v="1104.93"/>
  </r>
  <r>
    <x v="26"/>
    <s v="R1200"/>
    <x v="3"/>
    <x v="1"/>
    <x v="1"/>
    <n v="4"/>
    <n v="101.88"/>
    <x v="2"/>
    <n v="407.52"/>
  </r>
  <r>
    <x v="27"/>
    <s v="R1105"/>
    <x v="3"/>
    <x v="0"/>
    <x v="0"/>
    <n v="1"/>
    <n v="420.35"/>
    <x v="2"/>
    <n v="420.35"/>
  </r>
  <r>
    <x v="28"/>
    <s v="R1186"/>
    <x v="4"/>
    <x v="6"/>
    <x v="4"/>
    <n v="4"/>
    <n v="155.37"/>
    <x v="2"/>
    <n v="621.48"/>
  </r>
  <r>
    <x v="27"/>
    <s v="R1046"/>
    <x v="4"/>
    <x v="8"/>
    <x v="0"/>
    <n v="4"/>
    <n v="530.97"/>
    <x v="0"/>
    <n v="2123.88"/>
  </r>
  <r>
    <x v="29"/>
    <s v="R1025"/>
    <x v="0"/>
    <x v="11"/>
    <x v="3"/>
    <n v="9"/>
    <n v="509.82"/>
    <x v="0"/>
    <n v="4588.38"/>
  </r>
  <r>
    <x v="30"/>
    <s v="R1042"/>
    <x v="3"/>
    <x v="8"/>
    <x v="0"/>
    <n v="8"/>
    <n v="167.56"/>
    <x v="1"/>
    <n v="1340.48"/>
  </r>
  <r>
    <x v="31"/>
    <s v="R1097"/>
    <x v="0"/>
    <x v="1"/>
    <x v="1"/>
    <n v="5"/>
    <n v="559.58000000000004"/>
    <x v="1"/>
    <n v="2797.9"/>
  </r>
  <r>
    <x v="32"/>
    <s v="R1169"/>
    <x v="3"/>
    <x v="2"/>
    <x v="2"/>
    <n v="4"/>
    <n v="213.19"/>
    <x v="0"/>
    <n v="852.76"/>
  </r>
  <r>
    <x v="33"/>
    <s v="R1015"/>
    <x v="4"/>
    <x v="6"/>
    <x v="4"/>
    <n v="1"/>
    <n v="371.3"/>
    <x v="2"/>
    <n v="371.3"/>
  </r>
  <r>
    <x v="19"/>
    <s v="R1040"/>
    <x v="0"/>
    <x v="10"/>
    <x v="3"/>
    <n v="2"/>
    <n v="518.24"/>
    <x v="0"/>
    <n v="1036.48"/>
  </r>
  <r>
    <x v="34"/>
    <s v="R1103"/>
    <x v="0"/>
    <x v="12"/>
    <x v="5"/>
    <n v="4"/>
    <n v="368.41"/>
    <x v="0"/>
    <n v="1473.64"/>
  </r>
  <r>
    <x v="35"/>
    <s v="R1168"/>
    <x v="1"/>
    <x v="12"/>
    <x v="5"/>
    <n v="9"/>
    <n v="224"/>
    <x v="1"/>
    <n v="2016"/>
  </r>
  <r>
    <x v="36"/>
    <s v="R1061"/>
    <x v="4"/>
    <x v="1"/>
    <x v="1"/>
    <n v="3"/>
    <n v="419.43"/>
    <x v="1"/>
    <n v="1258.29"/>
  </r>
  <r>
    <x v="37"/>
    <s v="R1002"/>
    <x v="3"/>
    <x v="9"/>
    <x v="5"/>
    <n v="10"/>
    <n v="597.85"/>
    <x v="0"/>
    <n v="5978.5"/>
  </r>
  <r>
    <x v="18"/>
    <s v="R1067"/>
    <x v="2"/>
    <x v="5"/>
    <x v="0"/>
    <n v="2"/>
    <n v="533.6"/>
    <x v="1"/>
    <n v="1067.2"/>
  </r>
  <r>
    <x v="38"/>
    <s v="R1139"/>
    <x v="4"/>
    <x v="9"/>
    <x v="5"/>
    <n v="9"/>
    <n v="54.3"/>
    <x v="2"/>
    <n v="488.7"/>
  </r>
  <r>
    <x v="39"/>
    <s v="R1034"/>
    <x v="4"/>
    <x v="6"/>
    <x v="4"/>
    <n v="2"/>
    <n v="458.33"/>
    <x v="0"/>
    <n v="916.66"/>
  </r>
  <r>
    <x v="40"/>
    <s v="R1053"/>
    <x v="4"/>
    <x v="2"/>
    <x v="2"/>
    <n v="5"/>
    <n v="327.97"/>
    <x v="1"/>
    <n v="1639.8500000000001"/>
  </r>
  <r>
    <x v="41"/>
    <s v="R1023"/>
    <x v="3"/>
    <x v="7"/>
    <x v="3"/>
    <n v="1"/>
    <n v="51.95"/>
    <x v="0"/>
    <n v="51.95"/>
  </r>
  <r>
    <x v="17"/>
    <s v="R1041"/>
    <x v="3"/>
    <x v="4"/>
    <x v="3"/>
    <n v="7"/>
    <n v="358.5"/>
    <x v="0"/>
    <n v="2509.5"/>
  </r>
  <r>
    <x v="42"/>
    <s v="R1139"/>
    <x v="0"/>
    <x v="5"/>
    <x v="0"/>
    <n v="10"/>
    <n v="353.89"/>
    <x v="1"/>
    <n v="3538.8999999999996"/>
  </r>
  <r>
    <x v="20"/>
    <s v="R1093"/>
    <x v="0"/>
    <x v="5"/>
    <x v="0"/>
    <n v="4"/>
    <n v="425.14"/>
    <x v="2"/>
    <n v="1700.56"/>
  </r>
  <r>
    <x v="43"/>
    <s v="R1104"/>
    <x v="1"/>
    <x v="0"/>
    <x v="0"/>
    <n v="3"/>
    <n v="559.16999999999996"/>
    <x v="0"/>
    <n v="1677.5099999999998"/>
  </r>
  <r>
    <x v="44"/>
    <s v="R1105"/>
    <x v="0"/>
    <x v="2"/>
    <x v="2"/>
    <n v="6"/>
    <n v="480.31"/>
    <x v="1"/>
    <n v="2881.86"/>
  </r>
  <r>
    <x v="45"/>
    <s v="R1068"/>
    <x v="2"/>
    <x v="3"/>
    <x v="0"/>
    <n v="2"/>
    <n v="260.39999999999998"/>
    <x v="0"/>
    <n v="520.79999999999995"/>
  </r>
  <r>
    <x v="46"/>
    <s v="R1051"/>
    <x v="3"/>
    <x v="5"/>
    <x v="0"/>
    <n v="5"/>
    <n v="501.3"/>
    <x v="0"/>
    <n v="2506.5"/>
  </r>
  <r>
    <x v="47"/>
    <s v="R1102"/>
    <x v="4"/>
    <x v="7"/>
    <x v="3"/>
    <n v="2"/>
    <n v="581.79"/>
    <x v="1"/>
    <n v="1163.58"/>
  </r>
  <r>
    <x v="48"/>
    <s v="R1102"/>
    <x v="1"/>
    <x v="5"/>
    <x v="0"/>
    <n v="1"/>
    <n v="113.44"/>
    <x v="1"/>
    <n v="113.44"/>
  </r>
  <r>
    <x v="49"/>
    <s v="R1009"/>
    <x v="0"/>
    <x v="9"/>
    <x v="5"/>
    <n v="7"/>
    <n v="240.13"/>
    <x v="1"/>
    <n v="1680.9099999999999"/>
  </r>
  <r>
    <x v="50"/>
    <s v="R1029"/>
    <x v="3"/>
    <x v="12"/>
    <x v="5"/>
    <n v="4"/>
    <n v="190.1"/>
    <x v="2"/>
    <n v="760.4"/>
  </r>
  <r>
    <x v="51"/>
    <s v="R1137"/>
    <x v="2"/>
    <x v="5"/>
    <x v="0"/>
    <n v="7"/>
    <n v="88.49"/>
    <x v="2"/>
    <n v="619.42999999999995"/>
  </r>
  <r>
    <x v="52"/>
    <s v="R1080"/>
    <x v="0"/>
    <x v="0"/>
    <x v="0"/>
    <n v="5"/>
    <n v="328.92"/>
    <x v="2"/>
    <n v="1644.6000000000001"/>
  </r>
  <r>
    <x v="28"/>
    <s v="R1178"/>
    <x v="4"/>
    <x v="4"/>
    <x v="3"/>
    <n v="3"/>
    <n v="155.51"/>
    <x v="2"/>
    <n v="466.53"/>
  </r>
  <r>
    <x v="53"/>
    <s v="R1157"/>
    <x v="1"/>
    <x v="7"/>
    <x v="3"/>
    <n v="7"/>
    <n v="351.37"/>
    <x v="0"/>
    <n v="2459.59"/>
  </r>
  <r>
    <x v="54"/>
    <s v="R1110"/>
    <x v="1"/>
    <x v="9"/>
    <x v="5"/>
    <n v="6"/>
    <n v="305.74"/>
    <x v="1"/>
    <n v="1834.44"/>
  </r>
  <r>
    <x v="50"/>
    <s v="R1121"/>
    <x v="2"/>
    <x v="11"/>
    <x v="3"/>
    <n v="2"/>
    <n v="206.08"/>
    <x v="2"/>
    <n v="412.16"/>
  </r>
  <r>
    <x v="55"/>
    <s v="R1023"/>
    <x v="2"/>
    <x v="11"/>
    <x v="3"/>
    <n v="5"/>
    <n v="173.55"/>
    <x v="0"/>
    <n v="867.75"/>
  </r>
  <r>
    <x v="56"/>
    <s v="R1062"/>
    <x v="3"/>
    <x v="9"/>
    <x v="5"/>
    <n v="2"/>
    <n v="300.48"/>
    <x v="2"/>
    <n v="600.96"/>
  </r>
  <r>
    <x v="57"/>
    <s v="R1126"/>
    <x v="3"/>
    <x v="7"/>
    <x v="3"/>
    <n v="3"/>
    <n v="410.83"/>
    <x v="0"/>
    <n v="1232.49"/>
  </r>
  <r>
    <x v="58"/>
    <s v="R1199"/>
    <x v="3"/>
    <x v="7"/>
    <x v="3"/>
    <n v="3"/>
    <n v="492.26"/>
    <x v="2"/>
    <n v="1476.78"/>
  </r>
  <r>
    <x v="59"/>
    <s v="R1142"/>
    <x v="2"/>
    <x v="6"/>
    <x v="4"/>
    <n v="8"/>
    <n v="123.34"/>
    <x v="1"/>
    <n v="986.72"/>
  </r>
  <r>
    <x v="43"/>
    <s v="R1152"/>
    <x v="4"/>
    <x v="8"/>
    <x v="0"/>
    <n v="10"/>
    <n v="498.25"/>
    <x v="2"/>
    <n v="4982.5"/>
  </r>
  <r>
    <x v="60"/>
    <s v="R1114"/>
    <x v="2"/>
    <x v="0"/>
    <x v="0"/>
    <n v="8"/>
    <n v="297.54000000000002"/>
    <x v="0"/>
    <n v="2380.3200000000002"/>
  </r>
  <r>
    <x v="61"/>
    <s v="R1196"/>
    <x v="1"/>
    <x v="8"/>
    <x v="0"/>
    <n v="4"/>
    <n v="201.03"/>
    <x v="0"/>
    <n v="804.12"/>
  </r>
  <r>
    <x v="34"/>
    <s v="R1069"/>
    <x v="4"/>
    <x v="5"/>
    <x v="0"/>
    <n v="9"/>
    <n v="94.32"/>
    <x v="0"/>
    <n v="848.87999999999988"/>
  </r>
  <r>
    <x v="62"/>
    <s v="R1180"/>
    <x v="2"/>
    <x v="6"/>
    <x v="4"/>
    <n v="7"/>
    <n v="274.18"/>
    <x v="2"/>
    <n v="1919.26"/>
  </r>
  <r>
    <x v="63"/>
    <s v="R1052"/>
    <x v="3"/>
    <x v="1"/>
    <x v="1"/>
    <n v="10"/>
    <n v="570.33000000000004"/>
    <x v="0"/>
    <n v="5703.3"/>
  </r>
  <r>
    <x v="64"/>
    <s v="R1097"/>
    <x v="3"/>
    <x v="6"/>
    <x v="4"/>
    <n v="6"/>
    <n v="214.24"/>
    <x v="1"/>
    <n v="1285.44"/>
  </r>
  <r>
    <x v="35"/>
    <s v="R1137"/>
    <x v="1"/>
    <x v="9"/>
    <x v="5"/>
    <n v="4"/>
    <n v="318.52999999999997"/>
    <x v="1"/>
    <n v="1274.1199999999999"/>
  </r>
  <r>
    <x v="65"/>
    <s v="R1099"/>
    <x v="4"/>
    <x v="11"/>
    <x v="3"/>
    <n v="7"/>
    <n v="448.3"/>
    <x v="1"/>
    <n v="3138.1"/>
  </r>
  <r>
    <x v="66"/>
    <s v="R1136"/>
    <x v="0"/>
    <x v="1"/>
    <x v="1"/>
    <n v="10"/>
    <n v="360.42"/>
    <x v="0"/>
    <n v="3604.2000000000003"/>
  </r>
  <r>
    <x v="67"/>
    <s v="R1034"/>
    <x v="3"/>
    <x v="2"/>
    <x v="2"/>
    <n v="1"/>
    <n v="193.09"/>
    <x v="1"/>
    <n v="193.09"/>
  </r>
  <r>
    <x v="68"/>
    <s v="R1086"/>
    <x v="3"/>
    <x v="7"/>
    <x v="3"/>
    <n v="7"/>
    <n v="188.75"/>
    <x v="0"/>
    <n v="1321.25"/>
  </r>
  <r>
    <x v="69"/>
    <s v="R1013"/>
    <x v="4"/>
    <x v="7"/>
    <x v="3"/>
    <n v="2"/>
    <n v="479.68"/>
    <x v="2"/>
    <n v="959.36"/>
  </r>
  <r>
    <x v="70"/>
    <s v="R1063"/>
    <x v="2"/>
    <x v="6"/>
    <x v="4"/>
    <n v="10"/>
    <n v="133.81"/>
    <x v="0"/>
    <n v="1338.1"/>
  </r>
  <r>
    <x v="71"/>
    <s v="R1144"/>
    <x v="2"/>
    <x v="8"/>
    <x v="0"/>
    <n v="5"/>
    <n v="471.79"/>
    <x v="0"/>
    <n v="2358.9500000000003"/>
  </r>
  <r>
    <x v="71"/>
    <s v="R1199"/>
    <x v="2"/>
    <x v="7"/>
    <x v="3"/>
    <n v="2"/>
    <n v="368.28"/>
    <x v="1"/>
    <n v="736.56"/>
  </r>
  <r>
    <x v="72"/>
    <s v="R1101"/>
    <x v="2"/>
    <x v="6"/>
    <x v="4"/>
    <n v="10"/>
    <n v="429.84"/>
    <x v="2"/>
    <n v="4298.3999999999996"/>
  </r>
  <r>
    <x v="73"/>
    <s v="R1175"/>
    <x v="1"/>
    <x v="6"/>
    <x v="4"/>
    <n v="10"/>
    <n v="480.45"/>
    <x v="1"/>
    <n v="4804.5"/>
  </r>
  <r>
    <x v="74"/>
    <s v="R1017"/>
    <x v="1"/>
    <x v="11"/>
    <x v="3"/>
    <n v="6"/>
    <n v="56.96"/>
    <x v="1"/>
    <n v="341.76"/>
  </r>
  <r>
    <x v="58"/>
    <s v="R1110"/>
    <x v="4"/>
    <x v="11"/>
    <x v="3"/>
    <n v="8"/>
    <n v="439.02"/>
    <x v="1"/>
    <n v="3512.16"/>
  </r>
  <r>
    <x v="75"/>
    <s v="R1166"/>
    <x v="4"/>
    <x v="9"/>
    <x v="5"/>
    <n v="9"/>
    <n v="476.05"/>
    <x v="1"/>
    <n v="4284.45"/>
  </r>
  <r>
    <x v="76"/>
    <s v="R1068"/>
    <x v="4"/>
    <x v="7"/>
    <x v="3"/>
    <n v="2"/>
    <n v="203.41"/>
    <x v="1"/>
    <n v="406.82"/>
  </r>
  <r>
    <x v="77"/>
    <s v="R1145"/>
    <x v="1"/>
    <x v="11"/>
    <x v="3"/>
    <n v="7"/>
    <n v="235.02"/>
    <x v="1"/>
    <n v="1645.14"/>
  </r>
  <r>
    <x v="78"/>
    <s v="R1124"/>
    <x v="2"/>
    <x v="5"/>
    <x v="0"/>
    <n v="5"/>
    <n v="237.19"/>
    <x v="2"/>
    <n v="1185.95"/>
  </r>
  <r>
    <x v="61"/>
    <s v="R1142"/>
    <x v="0"/>
    <x v="10"/>
    <x v="3"/>
    <n v="4"/>
    <n v="97.09"/>
    <x v="2"/>
    <n v="388.36"/>
  </r>
  <r>
    <x v="32"/>
    <s v="R1194"/>
    <x v="2"/>
    <x v="3"/>
    <x v="0"/>
    <n v="8"/>
    <n v="405.25"/>
    <x v="1"/>
    <n v="3242"/>
  </r>
  <r>
    <x v="79"/>
    <s v="R1023"/>
    <x v="4"/>
    <x v="7"/>
    <x v="3"/>
    <n v="7"/>
    <n v="430.48"/>
    <x v="1"/>
    <n v="3013.36"/>
  </r>
  <r>
    <x v="80"/>
    <s v="R1121"/>
    <x v="1"/>
    <x v="10"/>
    <x v="3"/>
    <n v="6"/>
    <n v="284.02999999999997"/>
    <x v="2"/>
    <n v="1704.1799999999998"/>
  </r>
  <r>
    <x v="81"/>
    <s v="R1179"/>
    <x v="3"/>
    <x v="7"/>
    <x v="3"/>
    <n v="5"/>
    <n v="188.27"/>
    <x v="0"/>
    <n v="941.35"/>
  </r>
  <r>
    <x v="11"/>
    <s v="R1030"/>
    <x v="1"/>
    <x v="3"/>
    <x v="0"/>
    <n v="3"/>
    <n v="155.35"/>
    <x v="2"/>
    <n v="466.04999999999995"/>
  </r>
  <r>
    <x v="82"/>
    <s v="R1194"/>
    <x v="1"/>
    <x v="9"/>
    <x v="5"/>
    <n v="5"/>
    <n v="589.28"/>
    <x v="0"/>
    <n v="2946.3999999999996"/>
  </r>
  <r>
    <x v="83"/>
    <s v="R1045"/>
    <x v="4"/>
    <x v="6"/>
    <x v="4"/>
    <n v="9"/>
    <n v="119.62"/>
    <x v="0"/>
    <n v="1076.58"/>
  </r>
  <r>
    <x v="84"/>
    <s v="R1074"/>
    <x v="2"/>
    <x v="11"/>
    <x v="3"/>
    <n v="8"/>
    <n v="106.42"/>
    <x v="0"/>
    <n v="851.36"/>
  </r>
  <r>
    <x v="85"/>
    <s v="R1122"/>
    <x v="3"/>
    <x v="5"/>
    <x v="0"/>
    <n v="3"/>
    <n v="581.02"/>
    <x v="1"/>
    <n v="1743.06"/>
  </r>
  <r>
    <x v="86"/>
    <s v="R1029"/>
    <x v="0"/>
    <x v="1"/>
    <x v="1"/>
    <n v="8"/>
    <n v="90.75"/>
    <x v="2"/>
    <n v="726"/>
  </r>
  <r>
    <x v="87"/>
    <s v="R1038"/>
    <x v="1"/>
    <x v="7"/>
    <x v="3"/>
    <n v="2"/>
    <n v="596.65"/>
    <x v="0"/>
    <n v="1193.3"/>
  </r>
  <r>
    <x v="88"/>
    <s v="R1155"/>
    <x v="1"/>
    <x v="9"/>
    <x v="5"/>
    <n v="4"/>
    <n v="476.63"/>
    <x v="1"/>
    <n v="1906.52"/>
  </r>
  <r>
    <x v="89"/>
    <s v="R1076"/>
    <x v="1"/>
    <x v="1"/>
    <x v="1"/>
    <n v="5"/>
    <n v="362.75"/>
    <x v="0"/>
    <n v="1813.75"/>
  </r>
  <r>
    <x v="90"/>
    <s v="R1195"/>
    <x v="2"/>
    <x v="11"/>
    <x v="3"/>
    <n v="4"/>
    <n v="195.56"/>
    <x v="0"/>
    <n v="782.24"/>
  </r>
  <r>
    <x v="91"/>
    <s v="R1141"/>
    <x v="0"/>
    <x v="2"/>
    <x v="2"/>
    <n v="1"/>
    <n v="274.68"/>
    <x v="2"/>
    <n v="274.68"/>
  </r>
  <r>
    <x v="92"/>
    <s v="R1008"/>
    <x v="2"/>
    <x v="7"/>
    <x v="3"/>
    <n v="5"/>
    <n v="436.64"/>
    <x v="1"/>
    <n v="2183.1999999999998"/>
  </r>
  <r>
    <x v="93"/>
    <s v="R1067"/>
    <x v="1"/>
    <x v="11"/>
    <x v="3"/>
    <n v="4"/>
    <n v="283.83"/>
    <x v="2"/>
    <n v="1135.32"/>
  </r>
  <r>
    <x v="42"/>
    <s v="R1068"/>
    <x v="2"/>
    <x v="6"/>
    <x v="4"/>
    <n v="1"/>
    <n v="141.26"/>
    <x v="1"/>
    <n v="141.26"/>
  </r>
  <r>
    <x v="94"/>
    <s v="R1073"/>
    <x v="3"/>
    <x v="6"/>
    <x v="4"/>
    <n v="8"/>
    <n v="428.77"/>
    <x v="2"/>
    <n v="3430.16"/>
  </r>
  <r>
    <x v="95"/>
    <s v="R1128"/>
    <x v="1"/>
    <x v="8"/>
    <x v="0"/>
    <n v="8"/>
    <n v="94.24"/>
    <x v="0"/>
    <n v="753.92"/>
  </r>
  <r>
    <x v="96"/>
    <s v="R1154"/>
    <x v="4"/>
    <x v="6"/>
    <x v="4"/>
    <n v="2"/>
    <n v="175.91"/>
    <x v="2"/>
    <n v="351.82"/>
  </r>
  <r>
    <x v="64"/>
    <s v="R1150"/>
    <x v="0"/>
    <x v="11"/>
    <x v="3"/>
    <n v="5"/>
    <n v="366.94"/>
    <x v="0"/>
    <n v="1834.7"/>
  </r>
  <r>
    <x v="89"/>
    <s v="R1071"/>
    <x v="2"/>
    <x v="12"/>
    <x v="5"/>
    <n v="7"/>
    <n v="399.13"/>
    <x v="1"/>
    <n v="2793.91"/>
  </r>
  <r>
    <x v="85"/>
    <s v="R1089"/>
    <x v="3"/>
    <x v="5"/>
    <x v="0"/>
    <n v="6"/>
    <n v="418.57"/>
    <x v="0"/>
    <n v="2511.42"/>
  </r>
  <r>
    <x v="97"/>
    <s v="R1073"/>
    <x v="3"/>
    <x v="4"/>
    <x v="3"/>
    <n v="1"/>
    <n v="300.14999999999998"/>
    <x v="1"/>
    <n v="300.14999999999998"/>
  </r>
  <r>
    <x v="98"/>
    <s v="R1197"/>
    <x v="3"/>
    <x v="10"/>
    <x v="3"/>
    <n v="1"/>
    <n v="411.71"/>
    <x v="2"/>
    <n v="411.71"/>
  </r>
  <r>
    <x v="99"/>
    <s v="R1048"/>
    <x v="1"/>
    <x v="5"/>
    <x v="0"/>
    <n v="10"/>
    <n v="466.04"/>
    <x v="2"/>
    <n v="4660.4000000000005"/>
  </r>
  <r>
    <x v="41"/>
    <s v="R1052"/>
    <x v="4"/>
    <x v="4"/>
    <x v="3"/>
    <n v="3"/>
    <n v="560.22"/>
    <x v="1"/>
    <n v="1680.66"/>
  </r>
  <r>
    <x v="100"/>
    <s v="R1031"/>
    <x v="0"/>
    <x v="11"/>
    <x v="3"/>
    <n v="10"/>
    <n v="489.62"/>
    <x v="2"/>
    <n v="4896.2"/>
  </r>
  <r>
    <x v="101"/>
    <s v="R1003"/>
    <x v="1"/>
    <x v="1"/>
    <x v="1"/>
    <n v="2"/>
    <n v="173.59"/>
    <x v="0"/>
    <n v="347.18"/>
  </r>
  <r>
    <x v="102"/>
    <s v="R1165"/>
    <x v="2"/>
    <x v="8"/>
    <x v="0"/>
    <n v="5"/>
    <n v="329.88"/>
    <x v="1"/>
    <n v="1649.4"/>
  </r>
  <r>
    <x v="103"/>
    <s v="R1120"/>
    <x v="2"/>
    <x v="8"/>
    <x v="0"/>
    <n v="9"/>
    <n v="129.55000000000001"/>
    <x v="0"/>
    <n v="1165.95"/>
  </r>
  <r>
    <x v="48"/>
    <s v="R1191"/>
    <x v="2"/>
    <x v="6"/>
    <x v="4"/>
    <n v="5"/>
    <n v="474.97"/>
    <x v="1"/>
    <n v="2374.8500000000004"/>
  </r>
  <r>
    <x v="18"/>
    <s v="R1068"/>
    <x v="0"/>
    <x v="7"/>
    <x v="3"/>
    <n v="5"/>
    <n v="510.61"/>
    <x v="2"/>
    <n v="2553.0500000000002"/>
  </r>
  <r>
    <x v="104"/>
    <s v="R1038"/>
    <x v="3"/>
    <x v="4"/>
    <x v="3"/>
    <n v="8"/>
    <n v="239.82"/>
    <x v="2"/>
    <n v="1918.56"/>
  </r>
  <r>
    <x v="105"/>
    <s v="R1116"/>
    <x v="4"/>
    <x v="2"/>
    <x v="2"/>
    <n v="4"/>
    <n v="364.49"/>
    <x v="0"/>
    <n v="1457.96"/>
  </r>
  <r>
    <x v="106"/>
    <s v="R1011"/>
    <x v="4"/>
    <x v="0"/>
    <x v="0"/>
    <n v="8"/>
    <n v="437.88"/>
    <x v="1"/>
    <n v="3503.04"/>
  </r>
  <r>
    <x v="87"/>
    <s v="R1126"/>
    <x v="0"/>
    <x v="2"/>
    <x v="2"/>
    <n v="9"/>
    <n v="580.94000000000005"/>
    <x v="1"/>
    <n v="5228.4600000000009"/>
  </r>
  <r>
    <x v="107"/>
    <s v="R1025"/>
    <x v="1"/>
    <x v="8"/>
    <x v="0"/>
    <n v="1"/>
    <n v="447.34"/>
    <x v="1"/>
    <n v="447.34"/>
  </r>
  <r>
    <x v="108"/>
    <s v="R1019"/>
    <x v="3"/>
    <x v="7"/>
    <x v="3"/>
    <n v="6"/>
    <n v="392.79"/>
    <x v="1"/>
    <n v="2356.7400000000002"/>
  </r>
  <r>
    <x v="109"/>
    <s v="R1172"/>
    <x v="1"/>
    <x v="1"/>
    <x v="1"/>
    <n v="6"/>
    <n v="394.74"/>
    <x v="1"/>
    <n v="2368.44"/>
  </r>
  <r>
    <x v="110"/>
    <s v="R1158"/>
    <x v="0"/>
    <x v="7"/>
    <x v="3"/>
    <n v="5"/>
    <n v="598.58000000000004"/>
    <x v="2"/>
    <n v="2992.9"/>
  </r>
  <r>
    <x v="90"/>
    <s v="R1194"/>
    <x v="0"/>
    <x v="8"/>
    <x v="0"/>
    <n v="3"/>
    <n v="431.7"/>
    <x v="0"/>
    <n v="1295.0999999999999"/>
  </r>
  <r>
    <x v="111"/>
    <s v="R1075"/>
    <x v="4"/>
    <x v="5"/>
    <x v="0"/>
    <n v="7"/>
    <n v="130.06"/>
    <x v="2"/>
    <n v="910.42000000000007"/>
  </r>
  <r>
    <x v="112"/>
    <s v="R1043"/>
    <x v="2"/>
    <x v="6"/>
    <x v="4"/>
    <n v="10"/>
    <n v="528.96"/>
    <x v="2"/>
    <n v="5289.6"/>
  </r>
  <r>
    <x v="113"/>
    <s v="R1149"/>
    <x v="2"/>
    <x v="7"/>
    <x v="3"/>
    <n v="8"/>
    <n v="400.85"/>
    <x v="1"/>
    <n v="3206.8"/>
  </r>
  <r>
    <x v="114"/>
    <s v="R1119"/>
    <x v="4"/>
    <x v="11"/>
    <x v="3"/>
    <n v="9"/>
    <n v="136.88999999999999"/>
    <x v="1"/>
    <n v="1232.0099999999998"/>
  </r>
  <r>
    <x v="115"/>
    <s v="R1076"/>
    <x v="3"/>
    <x v="3"/>
    <x v="0"/>
    <n v="5"/>
    <n v="301.26"/>
    <x v="1"/>
    <n v="1506.3"/>
  </r>
  <r>
    <x v="57"/>
    <s v="R1123"/>
    <x v="0"/>
    <x v="7"/>
    <x v="3"/>
    <n v="7"/>
    <n v="364.56"/>
    <x v="2"/>
    <n v="2551.92"/>
  </r>
  <r>
    <x v="116"/>
    <s v="R1005"/>
    <x v="3"/>
    <x v="7"/>
    <x v="3"/>
    <n v="1"/>
    <n v="361.26"/>
    <x v="2"/>
    <n v="361.26"/>
  </r>
  <r>
    <x v="59"/>
    <s v="R1155"/>
    <x v="3"/>
    <x v="7"/>
    <x v="3"/>
    <n v="4"/>
    <n v="383.89"/>
    <x v="1"/>
    <n v="1535.56"/>
  </r>
  <r>
    <x v="117"/>
    <s v="R1158"/>
    <x v="4"/>
    <x v="11"/>
    <x v="3"/>
    <n v="3"/>
    <n v="395.54"/>
    <x v="2"/>
    <n v="1186.6200000000001"/>
  </r>
  <r>
    <x v="118"/>
    <s v="R1112"/>
    <x v="0"/>
    <x v="12"/>
    <x v="5"/>
    <n v="6"/>
    <n v="452.8"/>
    <x v="0"/>
    <n v="2716.8"/>
  </r>
  <r>
    <x v="68"/>
    <s v="R1191"/>
    <x v="3"/>
    <x v="2"/>
    <x v="2"/>
    <n v="4"/>
    <n v="122.69"/>
    <x v="2"/>
    <n v="490.76"/>
  </r>
  <r>
    <x v="119"/>
    <s v="R1135"/>
    <x v="1"/>
    <x v="7"/>
    <x v="3"/>
    <n v="3"/>
    <n v="191.33"/>
    <x v="1"/>
    <n v="573.99"/>
  </r>
  <r>
    <x v="116"/>
    <s v="R1191"/>
    <x v="4"/>
    <x v="6"/>
    <x v="4"/>
    <n v="8"/>
    <n v="579.59"/>
    <x v="0"/>
    <n v="4636.72"/>
  </r>
  <r>
    <x v="120"/>
    <s v="R1173"/>
    <x v="3"/>
    <x v="4"/>
    <x v="3"/>
    <n v="6"/>
    <n v="99.67"/>
    <x v="1"/>
    <n v="598.02"/>
  </r>
  <r>
    <x v="121"/>
    <s v="R1031"/>
    <x v="3"/>
    <x v="5"/>
    <x v="0"/>
    <n v="5"/>
    <n v="371.51"/>
    <x v="2"/>
    <n v="1857.55"/>
  </r>
  <r>
    <x v="122"/>
    <s v="R1172"/>
    <x v="2"/>
    <x v="8"/>
    <x v="0"/>
    <n v="1"/>
    <n v="390.75"/>
    <x v="2"/>
    <n v="390.75"/>
  </r>
  <r>
    <x v="123"/>
    <s v="R1056"/>
    <x v="0"/>
    <x v="11"/>
    <x v="3"/>
    <n v="8"/>
    <n v="550.16"/>
    <x v="1"/>
    <n v="4401.28"/>
  </r>
  <r>
    <x v="98"/>
    <s v="R1035"/>
    <x v="0"/>
    <x v="6"/>
    <x v="4"/>
    <n v="5"/>
    <n v="597.76"/>
    <x v="0"/>
    <n v="2988.8"/>
  </r>
  <r>
    <x v="124"/>
    <s v="R1034"/>
    <x v="3"/>
    <x v="8"/>
    <x v="0"/>
    <n v="6"/>
    <n v="418.77"/>
    <x v="2"/>
    <n v="2512.62"/>
  </r>
  <r>
    <x v="69"/>
    <s v="R1107"/>
    <x v="1"/>
    <x v="0"/>
    <x v="0"/>
    <n v="3"/>
    <n v="536.98"/>
    <x v="2"/>
    <n v="1610.94"/>
  </r>
  <r>
    <x v="104"/>
    <s v="R1157"/>
    <x v="3"/>
    <x v="7"/>
    <x v="3"/>
    <n v="1"/>
    <n v="429.65"/>
    <x v="0"/>
    <n v="429.65"/>
  </r>
  <r>
    <x v="34"/>
    <s v="R1092"/>
    <x v="0"/>
    <x v="11"/>
    <x v="3"/>
    <n v="6"/>
    <n v="349.46"/>
    <x v="2"/>
    <n v="2096.7599999999998"/>
  </r>
  <r>
    <x v="125"/>
    <s v="R1070"/>
    <x v="2"/>
    <x v="6"/>
    <x v="4"/>
    <n v="8"/>
    <n v="100.42"/>
    <x v="0"/>
    <n v="803.36"/>
  </r>
  <r>
    <x v="126"/>
    <s v="R1005"/>
    <x v="0"/>
    <x v="5"/>
    <x v="0"/>
    <n v="4"/>
    <n v="593.85"/>
    <x v="2"/>
    <n v="2375.4"/>
  </r>
  <r>
    <x v="84"/>
    <s v="R1053"/>
    <x v="1"/>
    <x v="2"/>
    <x v="2"/>
    <n v="4"/>
    <n v="230.71"/>
    <x v="0"/>
    <n v="922.84"/>
  </r>
  <r>
    <x v="126"/>
    <s v="R1000"/>
    <x v="4"/>
    <x v="2"/>
    <x v="2"/>
    <n v="3"/>
    <n v="347.12"/>
    <x v="0"/>
    <n v="1041.3600000000001"/>
  </r>
  <r>
    <x v="127"/>
    <s v="R1033"/>
    <x v="0"/>
    <x v="5"/>
    <x v="0"/>
    <n v="4"/>
    <n v="373.87"/>
    <x v="0"/>
    <n v="1495.48"/>
  </r>
  <r>
    <x v="41"/>
    <s v="R1032"/>
    <x v="3"/>
    <x v="10"/>
    <x v="3"/>
    <n v="2"/>
    <n v="460.12"/>
    <x v="1"/>
    <n v="920.24"/>
  </r>
  <r>
    <x v="128"/>
    <s v="R1131"/>
    <x v="1"/>
    <x v="6"/>
    <x v="4"/>
    <n v="8"/>
    <n v="327.11"/>
    <x v="2"/>
    <n v="2616.88"/>
  </r>
  <r>
    <x v="51"/>
    <s v="R1077"/>
    <x v="3"/>
    <x v="11"/>
    <x v="3"/>
    <n v="1"/>
    <n v="83.45"/>
    <x v="1"/>
    <n v="83.45"/>
  </r>
  <r>
    <x v="129"/>
    <s v="R1175"/>
    <x v="0"/>
    <x v="8"/>
    <x v="0"/>
    <n v="8"/>
    <n v="90.42"/>
    <x v="0"/>
    <n v="723.36"/>
  </r>
  <r>
    <x v="130"/>
    <s v="R1016"/>
    <x v="2"/>
    <x v="7"/>
    <x v="3"/>
    <n v="10"/>
    <n v="398.19"/>
    <x v="2"/>
    <n v="3981.9"/>
  </r>
  <r>
    <x v="131"/>
    <s v="R1152"/>
    <x v="1"/>
    <x v="7"/>
    <x v="3"/>
    <n v="8"/>
    <n v="328.05"/>
    <x v="1"/>
    <n v="2624.4"/>
  </r>
  <r>
    <x v="71"/>
    <s v="R1167"/>
    <x v="1"/>
    <x v="0"/>
    <x v="0"/>
    <n v="4"/>
    <n v="286.54000000000002"/>
    <x v="0"/>
    <n v="1146.1600000000001"/>
  </r>
  <r>
    <x v="132"/>
    <s v="R1102"/>
    <x v="3"/>
    <x v="0"/>
    <x v="0"/>
    <n v="2"/>
    <n v="221.9"/>
    <x v="1"/>
    <n v="443.8"/>
  </r>
  <r>
    <x v="133"/>
    <s v="R1039"/>
    <x v="3"/>
    <x v="6"/>
    <x v="4"/>
    <n v="2"/>
    <n v="507.47"/>
    <x v="0"/>
    <n v="1014.94"/>
  </r>
  <r>
    <x v="134"/>
    <s v="R1033"/>
    <x v="1"/>
    <x v="6"/>
    <x v="4"/>
    <n v="10"/>
    <n v="576.14"/>
    <x v="2"/>
    <n v="5761.4"/>
  </r>
  <r>
    <x v="135"/>
    <s v="R1105"/>
    <x v="4"/>
    <x v="11"/>
    <x v="3"/>
    <n v="7"/>
    <n v="527.45000000000005"/>
    <x v="2"/>
    <n v="3692.1500000000005"/>
  </r>
  <r>
    <x v="136"/>
    <s v="R1153"/>
    <x v="4"/>
    <x v="5"/>
    <x v="0"/>
    <n v="2"/>
    <n v="367.86"/>
    <x v="0"/>
    <n v="735.72"/>
  </r>
  <r>
    <x v="137"/>
    <s v="R1057"/>
    <x v="0"/>
    <x v="5"/>
    <x v="0"/>
    <n v="9"/>
    <n v="252.16"/>
    <x v="1"/>
    <n v="2269.44"/>
  </r>
  <r>
    <x v="67"/>
    <s v="R1143"/>
    <x v="1"/>
    <x v="9"/>
    <x v="5"/>
    <n v="9"/>
    <n v="64.44"/>
    <x v="2"/>
    <n v="579.96"/>
  </r>
  <r>
    <x v="138"/>
    <s v="R1007"/>
    <x v="2"/>
    <x v="7"/>
    <x v="3"/>
    <n v="5"/>
    <n v="556.85"/>
    <x v="1"/>
    <n v="2784.25"/>
  </r>
  <r>
    <x v="139"/>
    <s v="R1144"/>
    <x v="3"/>
    <x v="6"/>
    <x v="4"/>
    <n v="3"/>
    <n v="457.53"/>
    <x v="0"/>
    <n v="1372.59"/>
  </r>
  <r>
    <x v="19"/>
    <s v="R1055"/>
    <x v="3"/>
    <x v="1"/>
    <x v="1"/>
    <n v="8"/>
    <n v="237.49"/>
    <x v="1"/>
    <n v="1899.92"/>
  </r>
  <r>
    <x v="140"/>
    <s v="R1198"/>
    <x v="1"/>
    <x v="9"/>
    <x v="5"/>
    <n v="2"/>
    <n v="535.84"/>
    <x v="0"/>
    <n v="1071.68"/>
  </r>
  <r>
    <x v="141"/>
    <s v="R1012"/>
    <x v="0"/>
    <x v="7"/>
    <x v="3"/>
    <n v="8"/>
    <n v="414.07"/>
    <x v="1"/>
    <n v="3312.56"/>
  </r>
  <r>
    <x v="142"/>
    <s v="R1069"/>
    <x v="2"/>
    <x v="10"/>
    <x v="3"/>
    <n v="2"/>
    <n v="239.85"/>
    <x v="0"/>
    <n v="479.7"/>
  </r>
  <r>
    <x v="76"/>
    <s v="R1124"/>
    <x v="1"/>
    <x v="11"/>
    <x v="3"/>
    <n v="5"/>
    <n v="74.98"/>
    <x v="1"/>
    <n v="374.90000000000003"/>
  </r>
  <r>
    <x v="111"/>
    <s v="R1001"/>
    <x v="2"/>
    <x v="7"/>
    <x v="3"/>
    <n v="4"/>
    <n v="472.04"/>
    <x v="1"/>
    <n v="1888.16"/>
  </r>
  <r>
    <x v="143"/>
    <s v="R1001"/>
    <x v="3"/>
    <x v="0"/>
    <x v="0"/>
    <n v="7"/>
    <n v="146.63"/>
    <x v="1"/>
    <n v="1026.4099999999999"/>
  </r>
  <r>
    <x v="144"/>
    <s v="R1128"/>
    <x v="1"/>
    <x v="11"/>
    <x v="3"/>
    <n v="6"/>
    <n v="89.64"/>
    <x v="2"/>
    <n v="537.84"/>
  </r>
  <r>
    <x v="145"/>
    <s v="R1117"/>
    <x v="0"/>
    <x v="5"/>
    <x v="0"/>
    <n v="10"/>
    <n v="286.11"/>
    <x v="1"/>
    <n v="2861.1000000000004"/>
  </r>
  <r>
    <x v="88"/>
    <s v="R1074"/>
    <x v="0"/>
    <x v="1"/>
    <x v="1"/>
    <n v="1"/>
    <n v="581.41"/>
    <x v="0"/>
    <n v="581.41"/>
  </r>
  <r>
    <x v="141"/>
    <s v="R1117"/>
    <x v="4"/>
    <x v="6"/>
    <x v="4"/>
    <n v="7"/>
    <n v="514.47"/>
    <x v="0"/>
    <n v="3601.29"/>
  </r>
  <r>
    <x v="146"/>
    <s v="R1134"/>
    <x v="0"/>
    <x v="1"/>
    <x v="1"/>
    <n v="5"/>
    <n v="460.19"/>
    <x v="0"/>
    <n v="2300.9499999999998"/>
  </r>
  <r>
    <x v="147"/>
    <s v="R1019"/>
    <x v="1"/>
    <x v="11"/>
    <x v="3"/>
    <n v="2"/>
    <n v="341.83"/>
    <x v="0"/>
    <n v="683.66"/>
  </r>
  <r>
    <x v="148"/>
    <s v="R1089"/>
    <x v="2"/>
    <x v="7"/>
    <x v="3"/>
    <n v="2"/>
    <n v="130.54"/>
    <x v="0"/>
    <n v="261.08"/>
  </r>
  <r>
    <x v="62"/>
    <s v="R1194"/>
    <x v="0"/>
    <x v="2"/>
    <x v="2"/>
    <n v="8"/>
    <n v="305.17"/>
    <x v="2"/>
    <n v="2441.36"/>
  </r>
  <r>
    <x v="149"/>
    <s v="R1174"/>
    <x v="1"/>
    <x v="11"/>
    <x v="3"/>
    <n v="10"/>
    <n v="227.76"/>
    <x v="2"/>
    <n v="2277.6"/>
  </r>
  <r>
    <x v="107"/>
    <s v="R1017"/>
    <x v="3"/>
    <x v="8"/>
    <x v="0"/>
    <n v="5"/>
    <n v="487.98"/>
    <x v="2"/>
    <n v="2439.9"/>
  </r>
  <r>
    <x v="18"/>
    <s v="R1018"/>
    <x v="4"/>
    <x v="8"/>
    <x v="0"/>
    <n v="8"/>
    <n v="70.680000000000007"/>
    <x v="1"/>
    <n v="565.44000000000005"/>
  </r>
  <r>
    <x v="150"/>
    <s v="R1165"/>
    <x v="0"/>
    <x v="9"/>
    <x v="5"/>
    <n v="10"/>
    <n v="328.89"/>
    <x v="1"/>
    <n v="3288.8999999999996"/>
  </r>
  <r>
    <x v="151"/>
    <s v="R1115"/>
    <x v="1"/>
    <x v="11"/>
    <x v="3"/>
    <n v="4"/>
    <n v="226.84"/>
    <x v="1"/>
    <n v="907.36"/>
  </r>
  <r>
    <x v="63"/>
    <s v="R1115"/>
    <x v="0"/>
    <x v="5"/>
    <x v="0"/>
    <n v="2"/>
    <n v="327.5"/>
    <x v="0"/>
    <n v="655"/>
  </r>
  <r>
    <x v="38"/>
    <s v="R1112"/>
    <x v="1"/>
    <x v="10"/>
    <x v="3"/>
    <n v="10"/>
    <n v="137.31"/>
    <x v="1"/>
    <n v="1373.1"/>
  </r>
  <r>
    <x v="152"/>
    <s v="R1104"/>
    <x v="4"/>
    <x v="11"/>
    <x v="3"/>
    <n v="10"/>
    <n v="78.8"/>
    <x v="2"/>
    <n v="788"/>
  </r>
  <r>
    <x v="153"/>
    <s v="R1084"/>
    <x v="0"/>
    <x v="4"/>
    <x v="3"/>
    <n v="7"/>
    <n v="206.28"/>
    <x v="2"/>
    <n v="1443.96"/>
  </r>
  <r>
    <x v="2"/>
    <s v="R1038"/>
    <x v="4"/>
    <x v="6"/>
    <x v="4"/>
    <n v="10"/>
    <n v="414.99"/>
    <x v="1"/>
    <n v="4149.8999999999996"/>
  </r>
  <r>
    <x v="154"/>
    <s v="R1033"/>
    <x v="1"/>
    <x v="3"/>
    <x v="0"/>
    <n v="2"/>
    <n v="220.27"/>
    <x v="1"/>
    <n v="440.54"/>
  </r>
  <r>
    <x v="109"/>
    <s v="R1032"/>
    <x v="1"/>
    <x v="6"/>
    <x v="4"/>
    <n v="7"/>
    <n v="329.67"/>
    <x v="0"/>
    <n v="2307.69"/>
  </r>
  <r>
    <x v="112"/>
    <s v="R1054"/>
    <x v="4"/>
    <x v="8"/>
    <x v="0"/>
    <n v="4"/>
    <n v="174.6"/>
    <x v="0"/>
    <n v="698.4"/>
  </r>
  <r>
    <x v="116"/>
    <s v="R1025"/>
    <x v="1"/>
    <x v="4"/>
    <x v="3"/>
    <n v="9"/>
    <n v="70.760000000000005"/>
    <x v="1"/>
    <n v="636.84"/>
  </r>
  <r>
    <x v="141"/>
    <s v="R1033"/>
    <x v="1"/>
    <x v="1"/>
    <x v="1"/>
    <n v="3"/>
    <n v="139.24"/>
    <x v="2"/>
    <n v="417.72"/>
  </r>
  <r>
    <x v="31"/>
    <s v="R1184"/>
    <x v="3"/>
    <x v="6"/>
    <x v="4"/>
    <n v="7"/>
    <n v="250.36"/>
    <x v="2"/>
    <n v="1752.52"/>
  </r>
  <r>
    <x v="155"/>
    <s v="R1156"/>
    <x v="4"/>
    <x v="0"/>
    <x v="0"/>
    <n v="8"/>
    <n v="178.7"/>
    <x v="0"/>
    <n v="1429.6"/>
  </r>
  <r>
    <x v="85"/>
    <s v="R1049"/>
    <x v="4"/>
    <x v="11"/>
    <x v="3"/>
    <n v="10"/>
    <n v="591.44000000000005"/>
    <x v="1"/>
    <n v="5914.4000000000005"/>
  </r>
  <r>
    <x v="131"/>
    <s v="R1128"/>
    <x v="1"/>
    <x v="1"/>
    <x v="1"/>
    <n v="3"/>
    <n v="499.29"/>
    <x v="2"/>
    <n v="1497.8700000000001"/>
  </r>
  <r>
    <x v="156"/>
    <s v="R1013"/>
    <x v="3"/>
    <x v="5"/>
    <x v="0"/>
    <n v="9"/>
    <n v="563.86"/>
    <x v="2"/>
    <n v="5074.74"/>
  </r>
  <r>
    <x v="157"/>
    <s v="R1072"/>
    <x v="0"/>
    <x v="2"/>
    <x v="2"/>
    <n v="5"/>
    <n v="297.13"/>
    <x v="2"/>
    <n v="1485.65"/>
  </r>
  <r>
    <x v="158"/>
    <s v="R1023"/>
    <x v="2"/>
    <x v="8"/>
    <x v="0"/>
    <n v="6"/>
    <n v="561.76"/>
    <x v="1"/>
    <n v="3370.56"/>
  </r>
  <r>
    <x v="159"/>
    <s v="R1095"/>
    <x v="2"/>
    <x v="1"/>
    <x v="1"/>
    <n v="2"/>
    <n v="256.2"/>
    <x v="0"/>
    <n v="512.4"/>
  </r>
  <r>
    <x v="90"/>
    <s v="R1182"/>
    <x v="4"/>
    <x v="2"/>
    <x v="2"/>
    <n v="3"/>
    <n v="71.069999999999993"/>
    <x v="1"/>
    <n v="213.20999999999998"/>
  </r>
  <r>
    <x v="160"/>
    <s v="R1194"/>
    <x v="3"/>
    <x v="8"/>
    <x v="0"/>
    <n v="10"/>
    <n v="52.89"/>
    <x v="0"/>
    <n v="528.9"/>
  </r>
  <r>
    <x v="161"/>
    <s v="R1038"/>
    <x v="1"/>
    <x v="0"/>
    <x v="0"/>
    <n v="10"/>
    <n v="340.27"/>
    <x v="0"/>
    <n v="3402.7"/>
  </r>
  <r>
    <x v="30"/>
    <s v="R1077"/>
    <x v="0"/>
    <x v="6"/>
    <x v="4"/>
    <n v="4"/>
    <n v="280.89999999999998"/>
    <x v="2"/>
    <n v="1123.5999999999999"/>
  </r>
  <r>
    <x v="162"/>
    <s v="R1127"/>
    <x v="1"/>
    <x v="4"/>
    <x v="3"/>
    <n v="1"/>
    <n v="397.58"/>
    <x v="2"/>
    <n v="397.58"/>
  </r>
  <r>
    <x v="139"/>
    <s v="R1074"/>
    <x v="3"/>
    <x v="6"/>
    <x v="4"/>
    <n v="10"/>
    <n v="244.05"/>
    <x v="2"/>
    <n v="2440.5"/>
  </r>
  <r>
    <x v="163"/>
    <s v="R1134"/>
    <x v="4"/>
    <x v="6"/>
    <x v="4"/>
    <n v="9"/>
    <n v="349.25"/>
    <x v="2"/>
    <n v="3143.25"/>
  </r>
  <r>
    <x v="164"/>
    <s v="R1120"/>
    <x v="0"/>
    <x v="11"/>
    <x v="3"/>
    <n v="7"/>
    <n v="589.57000000000005"/>
    <x v="1"/>
    <n v="4126.9900000000007"/>
  </r>
  <r>
    <x v="165"/>
    <s v="R1017"/>
    <x v="4"/>
    <x v="7"/>
    <x v="3"/>
    <n v="2"/>
    <n v="474.33"/>
    <x v="2"/>
    <n v="948.66"/>
  </r>
  <r>
    <x v="166"/>
    <s v="R1011"/>
    <x v="4"/>
    <x v="4"/>
    <x v="3"/>
    <n v="6"/>
    <n v="497.43"/>
    <x v="0"/>
    <n v="2984.58"/>
  </r>
  <r>
    <x v="77"/>
    <s v="R1178"/>
    <x v="3"/>
    <x v="11"/>
    <x v="3"/>
    <n v="3"/>
    <n v="496.32"/>
    <x v="0"/>
    <n v="1488.96"/>
  </r>
  <r>
    <x v="167"/>
    <s v="R1009"/>
    <x v="4"/>
    <x v="2"/>
    <x v="2"/>
    <n v="1"/>
    <n v="485.11"/>
    <x v="0"/>
    <n v="485.11"/>
  </r>
  <r>
    <x v="118"/>
    <s v="R1131"/>
    <x v="3"/>
    <x v="4"/>
    <x v="3"/>
    <n v="8"/>
    <n v="189.32"/>
    <x v="2"/>
    <n v="1514.56"/>
  </r>
  <r>
    <x v="165"/>
    <s v="R1199"/>
    <x v="0"/>
    <x v="11"/>
    <x v="3"/>
    <n v="6"/>
    <n v="200.27"/>
    <x v="1"/>
    <n v="1201.6200000000001"/>
  </r>
  <r>
    <x v="168"/>
    <s v="R1190"/>
    <x v="3"/>
    <x v="1"/>
    <x v="1"/>
    <n v="6"/>
    <n v="585.54999999999995"/>
    <x v="1"/>
    <n v="3513.2999999999997"/>
  </r>
  <r>
    <x v="80"/>
    <s v="R1132"/>
    <x v="4"/>
    <x v="6"/>
    <x v="4"/>
    <n v="7"/>
    <n v="93.41"/>
    <x v="2"/>
    <n v="653.87"/>
  </r>
  <r>
    <x v="112"/>
    <s v="R1139"/>
    <x v="4"/>
    <x v="5"/>
    <x v="0"/>
    <n v="2"/>
    <n v="94.04"/>
    <x v="2"/>
    <n v="188.08"/>
  </r>
  <r>
    <x v="169"/>
    <s v="R1154"/>
    <x v="3"/>
    <x v="2"/>
    <x v="2"/>
    <n v="8"/>
    <n v="243.35"/>
    <x v="0"/>
    <n v="1946.8"/>
  </r>
  <r>
    <x v="81"/>
    <s v="R1157"/>
    <x v="3"/>
    <x v="7"/>
    <x v="3"/>
    <n v="1"/>
    <n v="91.27"/>
    <x v="2"/>
    <n v="91.27"/>
  </r>
  <r>
    <x v="170"/>
    <s v="R1191"/>
    <x v="2"/>
    <x v="6"/>
    <x v="4"/>
    <n v="3"/>
    <n v="516.77"/>
    <x v="2"/>
    <n v="1550.31"/>
  </r>
  <r>
    <x v="171"/>
    <s v="R1032"/>
    <x v="0"/>
    <x v="7"/>
    <x v="3"/>
    <n v="6"/>
    <n v="249.18"/>
    <x v="2"/>
    <n v="1495.08"/>
  </r>
  <r>
    <x v="62"/>
    <s v="R1173"/>
    <x v="3"/>
    <x v="5"/>
    <x v="0"/>
    <n v="6"/>
    <n v="294.17"/>
    <x v="0"/>
    <n v="1765.02"/>
  </r>
  <r>
    <x v="19"/>
    <s v="R1093"/>
    <x v="3"/>
    <x v="5"/>
    <x v="0"/>
    <n v="5"/>
    <n v="187.29"/>
    <x v="0"/>
    <n v="936.44999999999993"/>
  </r>
  <r>
    <x v="172"/>
    <s v="R1127"/>
    <x v="1"/>
    <x v="1"/>
    <x v="1"/>
    <n v="9"/>
    <n v="114.77"/>
    <x v="1"/>
    <n v="1032.93"/>
  </r>
  <r>
    <x v="173"/>
    <s v="R1156"/>
    <x v="4"/>
    <x v="3"/>
    <x v="0"/>
    <n v="8"/>
    <n v="160.1"/>
    <x v="0"/>
    <n v="1280.8"/>
  </r>
  <r>
    <x v="174"/>
    <s v="R1044"/>
    <x v="3"/>
    <x v="6"/>
    <x v="4"/>
    <n v="6"/>
    <n v="417.31"/>
    <x v="2"/>
    <n v="2503.86"/>
  </r>
  <r>
    <x v="33"/>
    <s v="R1074"/>
    <x v="4"/>
    <x v="2"/>
    <x v="2"/>
    <n v="3"/>
    <n v="486.53"/>
    <x v="2"/>
    <n v="1459.59"/>
  </r>
  <r>
    <x v="175"/>
    <s v="R1035"/>
    <x v="2"/>
    <x v="8"/>
    <x v="0"/>
    <n v="1"/>
    <n v="248.49"/>
    <x v="2"/>
    <n v="248.49"/>
  </r>
  <r>
    <x v="101"/>
    <s v="R1033"/>
    <x v="1"/>
    <x v="6"/>
    <x v="4"/>
    <n v="2"/>
    <n v="220.11"/>
    <x v="2"/>
    <n v="440.22"/>
  </r>
  <r>
    <x v="176"/>
    <s v="R1105"/>
    <x v="3"/>
    <x v="12"/>
    <x v="5"/>
    <n v="2"/>
    <n v="118.93"/>
    <x v="1"/>
    <n v="237.86"/>
  </r>
  <r>
    <x v="177"/>
    <s v="R1119"/>
    <x v="1"/>
    <x v="5"/>
    <x v="0"/>
    <n v="3"/>
    <n v="532.88"/>
    <x v="2"/>
    <n v="1598.6399999999999"/>
  </r>
  <r>
    <x v="78"/>
    <s v="R1196"/>
    <x v="2"/>
    <x v="1"/>
    <x v="1"/>
    <n v="9"/>
    <n v="550.89"/>
    <x v="0"/>
    <n v="4958.01"/>
  </r>
  <r>
    <x v="178"/>
    <s v="R1039"/>
    <x v="4"/>
    <x v="2"/>
    <x v="2"/>
    <n v="3"/>
    <n v="227.46"/>
    <x v="2"/>
    <n v="682.38"/>
  </r>
  <r>
    <x v="178"/>
    <s v="R1072"/>
    <x v="0"/>
    <x v="7"/>
    <x v="3"/>
    <n v="4"/>
    <n v="399.28"/>
    <x v="2"/>
    <n v="1597.12"/>
  </r>
  <r>
    <x v="179"/>
    <s v="R1077"/>
    <x v="1"/>
    <x v="4"/>
    <x v="3"/>
    <n v="2"/>
    <n v="326.42"/>
    <x v="0"/>
    <n v="652.84"/>
  </r>
  <r>
    <x v="180"/>
    <s v="R1039"/>
    <x v="2"/>
    <x v="11"/>
    <x v="3"/>
    <n v="10"/>
    <n v="446.35"/>
    <x v="2"/>
    <n v="4463.5"/>
  </r>
  <r>
    <x v="181"/>
    <s v="R1010"/>
    <x v="0"/>
    <x v="6"/>
    <x v="4"/>
    <n v="1"/>
    <n v="571.70000000000005"/>
    <x v="2"/>
    <n v="571.70000000000005"/>
  </r>
  <r>
    <x v="54"/>
    <s v="R1196"/>
    <x v="1"/>
    <x v="1"/>
    <x v="1"/>
    <n v="10"/>
    <n v="401.45"/>
    <x v="1"/>
    <n v="4014.5"/>
  </r>
  <r>
    <x v="1"/>
    <s v="R1074"/>
    <x v="4"/>
    <x v="8"/>
    <x v="0"/>
    <n v="4"/>
    <n v="492.58"/>
    <x v="2"/>
    <n v="1970.32"/>
  </r>
  <r>
    <x v="132"/>
    <s v="R1018"/>
    <x v="0"/>
    <x v="2"/>
    <x v="2"/>
    <n v="8"/>
    <n v="278.58999999999997"/>
    <x v="1"/>
    <n v="2228.7199999999998"/>
  </r>
  <r>
    <x v="182"/>
    <s v="R1036"/>
    <x v="4"/>
    <x v="3"/>
    <x v="0"/>
    <n v="6"/>
    <n v="453.81"/>
    <x v="1"/>
    <n v="2722.86"/>
  </r>
  <r>
    <x v="183"/>
    <s v="R1194"/>
    <x v="4"/>
    <x v="10"/>
    <x v="3"/>
    <n v="9"/>
    <n v="108.4"/>
    <x v="0"/>
    <n v="975.6"/>
  </r>
  <r>
    <x v="138"/>
    <s v="R1115"/>
    <x v="2"/>
    <x v="2"/>
    <x v="2"/>
    <n v="2"/>
    <n v="77.83"/>
    <x v="1"/>
    <n v="155.66"/>
  </r>
  <r>
    <x v="35"/>
    <s v="R1063"/>
    <x v="2"/>
    <x v="5"/>
    <x v="0"/>
    <n v="10"/>
    <n v="446.62"/>
    <x v="0"/>
    <n v="4466.2"/>
  </r>
  <r>
    <x v="184"/>
    <s v="R1131"/>
    <x v="3"/>
    <x v="8"/>
    <x v="0"/>
    <n v="5"/>
    <n v="323.55"/>
    <x v="0"/>
    <n v="1617.75"/>
  </r>
  <r>
    <x v="185"/>
    <s v="R1117"/>
    <x v="2"/>
    <x v="2"/>
    <x v="2"/>
    <n v="10"/>
    <n v="244.09"/>
    <x v="0"/>
    <n v="2440.9"/>
  </r>
  <r>
    <x v="126"/>
    <s v="R1167"/>
    <x v="3"/>
    <x v="7"/>
    <x v="3"/>
    <n v="9"/>
    <n v="54.5"/>
    <x v="0"/>
    <n v="490.5"/>
  </r>
  <r>
    <x v="49"/>
    <s v="R1186"/>
    <x v="4"/>
    <x v="1"/>
    <x v="1"/>
    <n v="6"/>
    <n v="74.88"/>
    <x v="0"/>
    <n v="449.28"/>
  </r>
  <r>
    <x v="186"/>
    <s v="R1092"/>
    <x v="1"/>
    <x v="7"/>
    <x v="3"/>
    <n v="2"/>
    <n v="262.49"/>
    <x v="1"/>
    <n v="524.98"/>
  </r>
  <r>
    <x v="187"/>
    <s v="R1159"/>
    <x v="1"/>
    <x v="6"/>
    <x v="4"/>
    <n v="3"/>
    <n v="586.29999999999995"/>
    <x v="1"/>
    <n v="1758.8999999999999"/>
  </r>
  <r>
    <x v="23"/>
    <s v="R1142"/>
    <x v="4"/>
    <x v="2"/>
    <x v="2"/>
    <n v="4"/>
    <n v="381.35"/>
    <x v="1"/>
    <n v="1525.4"/>
  </r>
  <r>
    <x v="56"/>
    <s v="R1009"/>
    <x v="2"/>
    <x v="3"/>
    <x v="0"/>
    <n v="6"/>
    <n v="492.18"/>
    <x v="2"/>
    <n v="2953.08"/>
  </r>
  <r>
    <x v="182"/>
    <s v="R1131"/>
    <x v="2"/>
    <x v="5"/>
    <x v="0"/>
    <n v="10"/>
    <n v="225.19"/>
    <x v="1"/>
    <n v="2251.9"/>
  </r>
  <r>
    <x v="188"/>
    <s v="R1151"/>
    <x v="4"/>
    <x v="10"/>
    <x v="3"/>
    <n v="9"/>
    <n v="342.79"/>
    <x v="2"/>
    <n v="3085.11"/>
  </r>
  <r>
    <x v="189"/>
    <s v="R1004"/>
    <x v="4"/>
    <x v="5"/>
    <x v="0"/>
    <n v="2"/>
    <n v="588.94000000000005"/>
    <x v="2"/>
    <n v="1177.8800000000001"/>
  </r>
  <r>
    <x v="190"/>
    <s v="R1006"/>
    <x v="1"/>
    <x v="8"/>
    <x v="0"/>
    <n v="5"/>
    <n v="581.89"/>
    <x v="2"/>
    <n v="2909.45"/>
  </r>
  <r>
    <x v="41"/>
    <s v="R1149"/>
    <x v="3"/>
    <x v="2"/>
    <x v="2"/>
    <n v="9"/>
    <n v="395.96"/>
    <x v="2"/>
    <n v="3563.64"/>
  </r>
  <r>
    <x v="191"/>
    <s v="R1037"/>
    <x v="2"/>
    <x v="6"/>
    <x v="4"/>
    <n v="10"/>
    <n v="571.51"/>
    <x v="0"/>
    <n v="5715.1"/>
  </r>
  <r>
    <x v="107"/>
    <s v="R1080"/>
    <x v="3"/>
    <x v="2"/>
    <x v="2"/>
    <n v="7"/>
    <n v="429.78"/>
    <x v="1"/>
    <n v="3008.46"/>
  </r>
  <r>
    <x v="192"/>
    <s v="R1120"/>
    <x v="0"/>
    <x v="3"/>
    <x v="0"/>
    <n v="3"/>
    <n v="335.28"/>
    <x v="2"/>
    <n v="1005.8399999999999"/>
  </r>
  <r>
    <x v="86"/>
    <s v="R1134"/>
    <x v="3"/>
    <x v="5"/>
    <x v="0"/>
    <n v="3"/>
    <n v="302.81"/>
    <x v="2"/>
    <n v="908.43000000000006"/>
  </r>
  <r>
    <x v="193"/>
    <s v="R1173"/>
    <x v="4"/>
    <x v="9"/>
    <x v="5"/>
    <n v="8"/>
    <n v="155.75"/>
    <x v="0"/>
    <n v="1246"/>
  </r>
  <r>
    <x v="194"/>
    <s v="R1057"/>
    <x v="4"/>
    <x v="7"/>
    <x v="3"/>
    <n v="4"/>
    <n v="429.63"/>
    <x v="1"/>
    <n v="1718.52"/>
  </r>
  <r>
    <x v="148"/>
    <s v="R1143"/>
    <x v="4"/>
    <x v="7"/>
    <x v="3"/>
    <n v="2"/>
    <n v="365.41"/>
    <x v="2"/>
    <n v="730.82"/>
  </r>
  <r>
    <x v="195"/>
    <s v="R1088"/>
    <x v="2"/>
    <x v="7"/>
    <x v="3"/>
    <n v="1"/>
    <n v="208.2"/>
    <x v="2"/>
    <n v="208.2"/>
  </r>
  <r>
    <x v="89"/>
    <s v="R1167"/>
    <x v="4"/>
    <x v="0"/>
    <x v="0"/>
    <n v="8"/>
    <n v="167.69"/>
    <x v="2"/>
    <n v="1341.52"/>
  </r>
  <r>
    <x v="12"/>
    <s v="R1178"/>
    <x v="4"/>
    <x v="2"/>
    <x v="2"/>
    <n v="2"/>
    <n v="388.62"/>
    <x v="2"/>
    <n v="777.24"/>
  </r>
  <r>
    <x v="59"/>
    <s v="R1171"/>
    <x v="1"/>
    <x v="7"/>
    <x v="3"/>
    <n v="4"/>
    <n v="78.87"/>
    <x v="1"/>
    <n v="315.48"/>
  </r>
  <r>
    <x v="196"/>
    <s v="R1025"/>
    <x v="2"/>
    <x v="6"/>
    <x v="4"/>
    <n v="9"/>
    <n v="587.85"/>
    <x v="0"/>
    <n v="5290.6500000000005"/>
  </r>
  <r>
    <x v="189"/>
    <s v="R1122"/>
    <x v="2"/>
    <x v="7"/>
    <x v="3"/>
    <n v="6"/>
    <n v="206.98"/>
    <x v="0"/>
    <n v="1241.8799999999999"/>
  </r>
  <r>
    <x v="197"/>
    <s v="R1166"/>
    <x v="1"/>
    <x v="7"/>
    <x v="3"/>
    <n v="9"/>
    <n v="456.28"/>
    <x v="0"/>
    <n v="4106.5199999999995"/>
  </r>
  <r>
    <x v="53"/>
    <s v="R1106"/>
    <x v="2"/>
    <x v="6"/>
    <x v="4"/>
    <n v="7"/>
    <n v="483.38"/>
    <x v="0"/>
    <n v="3383.66"/>
  </r>
  <r>
    <x v="198"/>
    <s v="R1009"/>
    <x v="0"/>
    <x v="7"/>
    <x v="3"/>
    <n v="10"/>
    <n v="381.53"/>
    <x v="1"/>
    <n v="3815.2999999999997"/>
  </r>
  <r>
    <x v="16"/>
    <s v="R1139"/>
    <x v="1"/>
    <x v="8"/>
    <x v="0"/>
    <n v="3"/>
    <n v="518.08000000000004"/>
    <x v="1"/>
    <n v="1554.2400000000002"/>
  </r>
  <r>
    <x v="199"/>
    <s v="R1084"/>
    <x v="2"/>
    <x v="0"/>
    <x v="0"/>
    <n v="8"/>
    <n v="406.56"/>
    <x v="2"/>
    <n v="3252.48"/>
  </r>
  <r>
    <x v="4"/>
    <s v="R1075"/>
    <x v="1"/>
    <x v="11"/>
    <x v="3"/>
    <n v="4"/>
    <n v="146.52000000000001"/>
    <x v="2"/>
    <n v="586.08000000000004"/>
  </r>
  <r>
    <x v="129"/>
    <s v="R1131"/>
    <x v="4"/>
    <x v="6"/>
    <x v="4"/>
    <n v="7"/>
    <n v="418.09"/>
    <x v="0"/>
    <n v="2926.6299999999997"/>
  </r>
  <r>
    <x v="86"/>
    <s v="R1082"/>
    <x v="2"/>
    <x v="6"/>
    <x v="4"/>
    <n v="5"/>
    <n v="260.97000000000003"/>
    <x v="1"/>
    <n v="1304.8500000000001"/>
  </r>
  <r>
    <x v="109"/>
    <s v="R1077"/>
    <x v="1"/>
    <x v="0"/>
    <x v="0"/>
    <n v="10"/>
    <n v="56.29"/>
    <x v="2"/>
    <n v="562.9"/>
  </r>
  <r>
    <x v="34"/>
    <s v="R1015"/>
    <x v="0"/>
    <x v="8"/>
    <x v="0"/>
    <n v="5"/>
    <n v="137.84"/>
    <x v="2"/>
    <n v="689.2"/>
  </r>
  <r>
    <x v="22"/>
    <s v="R1176"/>
    <x v="0"/>
    <x v="11"/>
    <x v="3"/>
    <n v="5"/>
    <n v="252.15"/>
    <x v="0"/>
    <n v="1260.75"/>
  </r>
  <r>
    <x v="166"/>
    <s v="R1122"/>
    <x v="2"/>
    <x v="8"/>
    <x v="0"/>
    <n v="10"/>
    <n v="255.49"/>
    <x v="2"/>
    <n v="2554.9"/>
  </r>
  <r>
    <x v="196"/>
    <s v="R1193"/>
    <x v="1"/>
    <x v="11"/>
    <x v="3"/>
    <n v="4"/>
    <n v="469.02"/>
    <x v="2"/>
    <n v="1876.08"/>
  </r>
  <r>
    <x v="200"/>
    <s v="R1134"/>
    <x v="3"/>
    <x v="10"/>
    <x v="3"/>
    <n v="6"/>
    <n v="92.96"/>
    <x v="2"/>
    <n v="557.76"/>
  </r>
  <r>
    <x v="60"/>
    <s v="R1129"/>
    <x v="2"/>
    <x v="12"/>
    <x v="5"/>
    <n v="9"/>
    <n v="132.41999999999999"/>
    <x v="1"/>
    <n v="1191.78"/>
  </r>
  <r>
    <x v="89"/>
    <s v="R1029"/>
    <x v="2"/>
    <x v="3"/>
    <x v="0"/>
    <n v="10"/>
    <n v="318.86"/>
    <x v="2"/>
    <n v="3188.6000000000004"/>
  </r>
  <r>
    <x v="111"/>
    <s v="R1116"/>
    <x v="2"/>
    <x v="10"/>
    <x v="3"/>
    <n v="7"/>
    <n v="301.24"/>
    <x v="0"/>
    <n v="2108.6800000000003"/>
  </r>
  <r>
    <x v="20"/>
    <s v="R1185"/>
    <x v="0"/>
    <x v="1"/>
    <x v="1"/>
    <n v="5"/>
    <n v="499.05"/>
    <x v="2"/>
    <n v="2495.25"/>
  </r>
  <r>
    <x v="37"/>
    <s v="R1011"/>
    <x v="3"/>
    <x v="5"/>
    <x v="0"/>
    <n v="2"/>
    <n v="347.64"/>
    <x v="0"/>
    <n v="695.28"/>
  </r>
  <r>
    <x v="21"/>
    <s v="R1120"/>
    <x v="0"/>
    <x v="7"/>
    <x v="3"/>
    <n v="7"/>
    <n v="148.99"/>
    <x v="0"/>
    <n v="1042.93"/>
  </r>
  <r>
    <x v="201"/>
    <s v="R1107"/>
    <x v="4"/>
    <x v="1"/>
    <x v="1"/>
    <n v="8"/>
    <n v="528.29"/>
    <x v="1"/>
    <n v="4226.32"/>
  </r>
  <r>
    <x v="69"/>
    <s v="R1034"/>
    <x v="4"/>
    <x v="6"/>
    <x v="4"/>
    <n v="3"/>
    <n v="596.07000000000005"/>
    <x v="1"/>
    <n v="1788.21"/>
  </r>
  <r>
    <x v="202"/>
    <s v="R1000"/>
    <x v="0"/>
    <x v="7"/>
    <x v="3"/>
    <n v="8"/>
    <n v="420.42"/>
    <x v="2"/>
    <n v="3363.36"/>
  </r>
  <r>
    <x v="191"/>
    <s v="R1058"/>
    <x v="2"/>
    <x v="8"/>
    <x v="0"/>
    <n v="6"/>
    <n v="135.32"/>
    <x v="0"/>
    <n v="811.92"/>
  </r>
  <r>
    <x v="199"/>
    <s v="R1008"/>
    <x v="3"/>
    <x v="9"/>
    <x v="5"/>
    <n v="1"/>
    <n v="182.37"/>
    <x v="0"/>
    <n v="182.37"/>
  </r>
  <r>
    <x v="171"/>
    <s v="R1114"/>
    <x v="1"/>
    <x v="11"/>
    <x v="3"/>
    <n v="1"/>
    <n v="184.6"/>
    <x v="0"/>
    <n v="184.6"/>
  </r>
  <r>
    <x v="93"/>
    <s v="R1138"/>
    <x v="2"/>
    <x v="6"/>
    <x v="4"/>
    <n v="3"/>
    <n v="327.14"/>
    <x v="1"/>
    <n v="981.42"/>
  </r>
  <r>
    <x v="64"/>
    <s v="R1081"/>
    <x v="1"/>
    <x v="9"/>
    <x v="5"/>
    <n v="6"/>
    <n v="180.3"/>
    <x v="0"/>
    <n v="1081.8000000000002"/>
  </r>
  <r>
    <x v="51"/>
    <s v="R1056"/>
    <x v="3"/>
    <x v="7"/>
    <x v="3"/>
    <n v="5"/>
    <n v="83.53"/>
    <x v="2"/>
    <n v="417.65"/>
  </r>
  <r>
    <x v="53"/>
    <s v="R1160"/>
    <x v="3"/>
    <x v="4"/>
    <x v="3"/>
    <n v="8"/>
    <n v="75.790000000000006"/>
    <x v="1"/>
    <n v="606.32000000000005"/>
  </r>
  <r>
    <x v="131"/>
    <s v="R1134"/>
    <x v="4"/>
    <x v="3"/>
    <x v="0"/>
    <n v="7"/>
    <n v="274.54000000000002"/>
    <x v="1"/>
    <n v="1921.7800000000002"/>
  </r>
  <r>
    <x v="124"/>
    <s v="R1121"/>
    <x v="2"/>
    <x v="7"/>
    <x v="3"/>
    <n v="5"/>
    <n v="521.65"/>
    <x v="0"/>
    <n v="2608.25"/>
  </r>
  <r>
    <x v="203"/>
    <s v="R1143"/>
    <x v="3"/>
    <x v="1"/>
    <x v="1"/>
    <n v="9"/>
    <n v="341.5"/>
    <x v="1"/>
    <n v="3073.5"/>
  </r>
  <r>
    <x v="204"/>
    <s v="R1084"/>
    <x v="0"/>
    <x v="8"/>
    <x v="0"/>
    <n v="6"/>
    <n v="100.86"/>
    <x v="2"/>
    <n v="605.16"/>
  </r>
  <r>
    <x v="41"/>
    <s v="R1068"/>
    <x v="3"/>
    <x v="11"/>
    <x v="3"/>
    <n v="10"/>
    <n v="381.61"/>
    <x v="0"/>
    <n v="3816.1000000000004"/>
  </r>
  <r>
    <x v="115"/>
    <s v="R1185"/>
    <x v="1"/>
    <x v="2"/>
    <x v="2"/>
    <n v="8"/>
    <n v="164.89"/>
    <x v="1"/>
    <n v="1319.12"/>
  </r>
  <r>
    <x v="205"/>
    <s v="R1054"/>
    <x v="2"/>
    <x v="0"/>
    <x v="0"/>
    <n v="2"/>
    <n v="460.78"/>
    <x v="1"/>
    <n v="921.56"/>
  </r>
  <r>
    <x v="40"/>
    <s v="R1180"/>
    <x v="2"/>
    <x v="1"/>
    <x v="1"/>
    <n v="4"/>
    <n v="353.64"/>
    <x v="1"/>
    <n v="1414.56"/>
  </r>
  <r>
    <x v="206"/>
    <s v="R1166"/>
    <x v="4"/>
    <x v="7"/>
    <x v="3"/>
    <n v="5"/>
    <n v="247.8"/>
    <x v="1"/>
    <n v="1239"/>
  </r>
  <r>
    <x v="85"/>
    <s v="R1194"/>
    <x v="4"/>
    <x v="2"/>
    <x v="2"/>
    <n v="6"/>
    <n v="222.11"/>
    <x v="0"/>
    <n v="1332.66"/>
  </r>
  <r>
    <x v="46"/>
    <s v="R1189"/>
    <x v="2"/>
    <x v="6"/>
    <x v="4"/>
    <n v="5"/>
    <n v="354.32"/>
    <x v="2"/>
    <n v="1771.6"/>
  </r>
  <r>
    <x v="88"/>
    <s v="R1075"/>
    <x v="2"/>
    <x v="2"/>
    <x v="2"/>
    <n v="6"/>
    <n v="176.51"/>
    <x v="2"/>
    <n v="1059.06"/>
  </r>
  <r>
    <x v="184"/>
    <s v="R1140"/>
    <x v="4"/>
    <x v="7"/>
    <x v="3"/>
    <n v="8"/>
    <n v="581.58000000000004"/>
    <x v="2"/>
    <n v="4652.6400000000003"/>
  </r>
  <r>
    <x v="207"/>
    <s v="R1043"/>
    <x v="4"/>
    <x v="2"/>
    <x v="2"/>
    <n v="3"/>
    <n v="446.17"/>
    <x v="1"/>
    <n v="1338.51"/>
  </r>
  <r>
    <x v="33"/>
    <s v="R1164"/>
    <x v="0"/>
    <x v="10"/>
    <x v="3"/>
    <n v="1"/>
    <n v="511.49"/>
    <x v="0"/>
    <n v="511.49"/>
  </r>
  <r>
    <x v="208"/>
    <s v="R1195"/>
    <x v="0"/>
    <x v="1"/>
    <x v="1"/>
    <n v="3"/>
    <n v="513.4"/>
    <x v="0"/>
    <n v="1540.1999999999998"/>
  </r>
  <r>
    <x v="87"/>
    <s v="R1002"/>
    <x v="2"/>
    <x v="10"/>
    <x v="3"/>
    <n v="8"/>
    <n v="255.26"/>
    <x v="2"/>
    <n v="2042.08"/>
  </r>
  <r>
    <x v="209"/>
    <s v="R1123"/>
    <x v="3"/>
    <x v="6"/>
    <x v="4"/>
    <n v="1"/>
    <n v="342.72"/>
    <x v="1"/>
    <n v="342.72"/>
  </r>
  <r>
    <x v="19"/>
    <s v="R1184"/>
    <x v="4"/>
    <x v="4"/>
    <x v="3"/>
    <n v="5"/>
    <n v="59.43"/>
    <x v="2"/>
    <n v="297.14999999999998"/>
  </r>
  <r>
    <x v="210"/>
    <s v="R1027"/>
    <x v="0"/>
    <x v="10"/>
    <x v="3"/>
    <n v="3"/>
    <n v="182.53"/>
    <x v="2"/>
    <n v="547.59"/>
  </r>
  <r>
    <x v="193"/>
    <s v="R1068"/>
    <x v="3"/>
    <x v="6"/>
    <x v="4"/>
    <n v="6"/>
    <n v="577.61"/>
    <x v="1"/>
    <n v="3465.66"/>
  </r>
  <r>
    <x v="120"/>
    <s v="R1076"/>
    <x v="0"/>
    <x v="11"/>
    <x v="3"/>
    <n v="1"/>
    <n v="101.43"/>
    <x v="1"/>
    <n v="101.43"/>
  </r>
  <r>
    <x v="189"/>
    <s v="R1014"/>
    <x v="0"/>
    <x v="3"/>
    <x v="0"/>
    <n v="3"/>
    <n v="95.48"/>
    <x v="1"/>
    <n v="286.44"/>
  </r>
  <r>
    <x v="211"/>
    <s v="R1144"/>
    <x v="0"/>
    <x v="10"/>
    <x v="3"/>
    <n v="1"/>
    <n v="176.37"/>
    <x v="2"/>
    <n v="176.37"/>
  </r>
  <r>
    <x v="189"/>
    <s v="R1069"/>
    <x v="0"/>
    <x v="6"/>
    <x v="4"/>
    <n v="5"/>
    <n v="544.62"/>
    <x v="2"/>
    <n v="2723.1"/>
  </r>
  <r>
    <x v="210"/>
    <s v="R1080"/>
    <x v="0"/>
    <x v="2"/>
    <x v="2"/>
    <n v="10"/>
    <n v="129.31"/>
    <x v="2"/>
    <n v="1293.0999999999999"/>
  </r>
  <r>
    <x v="150"/>
    <s v="R1076"/>
    <x v="2"/>
    <x v="12"/>
    <x v="5"/>
    <n v="4"/>
    <n v="361.68"/>
    <x v="1"/>
    <n v="1446.72"/>
  </r>
  <r>
    <x v="69"/>
    <s v="R1084"/>
    <x v="3"/>
    <x v="0"/>
    <x v="0"/>
    <n v="3"/>
    <n v="484.77"/>
    <x v="2"/>
    <n v="1454.31"/>
  </r>
  <r>
    <x v="212"/>
    <s v="R1190"/>
    <x v="4"/>
    <x v="6"/>
    <x v="4"/>
    <n v="2"/>
    <n v="290.39999999999998"/>
    <x v="0"/>
    <n v="580.79999999999995"/>
  </r>
  <r>
    <x v="213"/>
    <s v="R1152"/>
    <x v="3"/>
    <x v="5"/>
    <x v="0"/>
    <n v="1"/>
    <n v="398.77"/>
    <x v="1"/>
    <n v="398.77"/>
  </r>
  <r>
    <x v="165"/>
    <s v="R1141"/>
    <x v="3"/>
    <x v="1"/>
    <x v="1"/>
    <n v="3"/>
    <n v="423.83"/>
    <x v="2"/>
    <n v="1271.49"/>
  </r>
  <r>
    <x v="141"/>
    <s v="R1075"/>
    <x v="2"/>
    <x v="3"/>
    <x v="0"/>
    <n v="2"/>
    <n v="95.12"/>
    <x v="0"/>
    <n v="190.24"/>
  </r>
  <r>
    <x v="214"/>
    <s v="R1039"/>
    <x v="3"/>
    <x v="5"/>
    <x v="0"/>
    <n v="6"/>
    <n v="108.6"/>
    <x v="0"/>
    <n v="651.59999999999991"/>
  </r>
  <r>
    <x v="155"/>
    <s v="R1092"/>
    <x v="4"/>
    <x v="6"/>
    <x v="4"/>
    <n v="3"/>
    <n v="98.01"/>
    <x v="1"/>
    <n v="294.03000000000003"/>
  </r>
  <r>
    <x v="32"/>
    <s v="R1131"/>
    <x v="3"/>
    <x v="6"/>
    <x v="4"/>
    <n v="1"/>
    <n v="99.29"/>
    <x v="2"/>
    <n v="99.29"/>
  </r>
  <r>
    <x v="215"/>
    <s v="R1200"/>
    <x v="4"/>
    <x v="1"/>
    <x v="1"/>
    <n v="1"/>
    <n v="210.52"/>
    <x v="1"/>
    <n v="210.52"/>
  </r>
  <r>
    <x v="43"/>
    <s v="R1062"/>
    <x v="1"/>
    <x v="10"/>
    <x v="3"/>
    <n v="3"/>
    <n v="426.92"/>
    <x v="0"/>
    <n v="1280.76"/>
  </r>
  <r>
    <x v="73"/>
    <s v="R1068"/>
    <x v="3"/>
    <x v="2"/>
    <x v="2"/>
    <n v="2"/>
    <n v="141.96"/>
    <x v="1"/>
    <n v="283.92"/>
  </r>
  <r>
    <x v="103"/>
    <s v="R1200"/>
    <x v="0"/>
    <x v="5"/>
    <x v="0"/>
    <n v="5"/>
    <n v="569.32000000000005"/>
    <x v="2"/>
    <n v="2846.6000000000004"/>
  </r>
  <r>
    <x v="216"/>
    <s v="R1157"/>
    <x v="2"/>
    <x v="8"/>
    <x v="0"/>
    <n v="2"/>
    <n v="124.52"/>
    <x v="0"/>
    <n v="249.04"/>
  </r>
  <r>
    <x v="217"/>
    <s v="R1158"/>
    <x v="3"/>
    <x v="5"/>
    <x v="0"/>
    <n v="8"/>
    <n v="234.1"/>
    <x v="2"/>
    <n v="1872.8"/>
  </r>
  <r>
    <x v="218"/>
    <s v="R1076"/>
    <x v="4"/>
    <x v="9"/>
    <x v="5"/>
    <n v="4"/>
    <n v="313.45999999999998"/>
    <x v="0"/>
    <n v="1253.8399999999999"/>
  </r>
  <r>
    <x v="219"/>
    <s v="R1074"/>
    <x v="3"/>
    <x v="12"/>
    <x v="5"/>
    <n v="4"/>
    <n v="229.24"/>
    <x v="1"/>
    <n v="916.96"/>
  </r>
  <r>
    <x v="220"/>
    <s v="R1093"/>
    <x v="0"/>
    <x v="12"/>
    <x v="5"/>
    <n v="4"/>
    <n v="375.72"/>
    <x v="2"/>
    <n v="1502.88"/>
  </r>
  <r>
    <x v="29"/>
    <s v="R1006"/>
    <x v="3"/>
    <x v="3"/>
    <x v="0"/>
    <n v="4"/>
    <n v="291.14999999999998"/>
    <x v="1"/>
    <n v="1164.5999999999999"/>
  </r>
  <r>
    <x v="21"/>
    <s v="R1104"/>
    <x v="3"/>
    <x v="2"/>
    <x v="2"/>
    <n v="5"/>
    <n v="183.11"/>
    <x v="2"/>
    <n v="915.55000000000007"/>
  </r>
  <r>
    <x v="27"/>
    <s v="R1096"/>
    <x v="0"/>
    <x v="8"/>
    <x v="0"/>
    <n v="10"/>
    <n v="313.58"/>
    <x v="1"/>
    <n v="3135.7999999999997"/>
  </r>
  <r>
    <x v="35"/>
    <s v="R1139"/>
    <x v="0"/>
    <x v="5"/>
    <x v="0"/>
    <n v="9"/>
    <n v="376.6"/>
    <x v="0"/>
    <n v="3389.4"/>
  </r>
  <r>
    <x v="45"/>
    <s v="R1168"/>
    <x v="4"/>
    <x v="2"/>
    <x v="2"/>
    <n v="10"/>
    <n v="74.36"/>
    <x v="2"/>
    <n v="743.6"/>
  </r>
  <r>
    <x v="168"/>
    <s v="R1192"/>
    <x v="4"/>
    <x v="1"/>
    <x v="1"/>
    <n v="2"/>
    <n v="55.8"/>
    <x v="1"/>
    <n v="111.6"/>
  </r>
  <r>
    <x v="178"/>
    <s v="R1142"/>
    <x v="1"/>
    <x v="3"/>
    <x v="0"/>
    <n v="10"/>
    <n v="171.57"/>
    <x v="1"/>
    <n v="1715.6999999999998"/>
  </r>
  <r>
    <x v="82"/>
    <s v="R1176"/>
    <x v="1"/>
    <x v="2"/>
    <x v="2"/>
    <n v="6"/>
    <n v="598.74"/>
    <x v="1"/>
    <n v="3592.44"/>
  </r>
  <r>
    <x v="142"/>
    <s v="R1021"/>
    <x v="0"/>
    <x v="0"/>
    <x v="0"/>
    <n v="3"/>
    <n v="241.58"/>
    <x v="1"/>
    <n v="724.74"/>
  </r>
  <r>
    <x v="221"/>
    <s v="R1133"/>
    <x v="3"/>
    <x v="5"/>
    <x v="0"/>
    <n v="8"/>
    <n v="103.69"/>
    <x v="2"/>
    <n v="829.52"/>
  </r>
  <r>
    <x v="219"/>
    <s v="R1017"/>
    <x v="4"/>
    <x v="6"/>
    <x v="4"/>
    <n v="2"/>
    <n v="62.42"/>
    <x v="1"/>
    <n v="124.84"/>
  </r>
  <r>
    <x v="31"/>
    <s v="R1189"/>
    <x v="2"/>
    <x v="10"/>
    <x v="3"/>
    <n v="3"/>
    <n v="353.55"/>
    <x v="1"/>
    <n v="1060.6500000000001"/>
  </r>
  <r>
    <x v="222"/>
    <s v="R1059"/>
    <x v="3"/>
    <x v="11"/>
    <x v="3"/>
    <n v="3"/>
    <n v="152.51"/>
    <x v="2"/>
    <n v="457.53"/>
  </r>
  <r>
    <x v="65"/>
    <s v="R1188"/>
    <x v="1"/>
    <x v="2"/>
    <x v="2"/>
    <n v="8"/>
    <n v="375.71"/>
    <x v="1"/>
    <n v="3005.68"/>
  </r>
  <r>
    <x v="173"/>
    <s v="R1052"/>
    <x v="4"/>
    <x v="3"/>
    <x v="0"/>
    <n v="2"/>
    <n v="367.54"/>
    <x v="2"/>
    <n v="735.08"/>
  </r>
  <r>
    <x v="140"/>
    <s v="R1050"/>
    <x v="3"/>
    <x v="6"/>
    <x v="4"/>
    <n v="5"/>
    <n v="418.89"/>
    <x v="1"/>
    <n v="2094.4499999999998"/>
  </r>
  <r>
    <x v="0"/>
    <s v="R1080"/>
    <x v="1"/>
    <x v="1"/>
    <x v="1"/>
    <n v="10"/>
    <n v="265.89999999999998"/>
    <x v="0"/>
    <n v="2659"/>
  </r>
  <r>
    <x v="167"/>
    <s v="R1158"/>
    <x v="2"/>
    <x v="11"/>
    <x v="3"/>
    <n v="5"/>
    <n v="555.28"/>
    <x v="2"/>
    <n v="2776.3999999999996"/>
  </r>
  <r>
    <x v="166"/>
    <s v="R1080"/>
    <x v="0"/>
    <x v="7"/>
    <x v="3"/>
    <n v="5"/>
    <n v="114.32"/>
    <x v="1"/>
    <n v="571.59999999999991"/>
  </r>
  <r>
    <x v="50"/>
    <s v="R1099"/>
    <x v="3"/>
    <x v="9"/>
    <x v="5"/>
    <n v="3"/>
    <n v="366.14"/>
    <x v="1"/>
    <n v="1098.42"/>
  </r>
  <r>
    <x v="8"/>
    <s v="R1137"/>
    <x v="2"/>
    <x v="4"/>
    <x v="3"/>
    <n v="3"/>
    <n v="319.3"/>
    <x v="0"/>
    <n v="957.90000000000009"/>
  </r>
  <r>
    <x v="177"/>
    <s v="R1158"/>
    <x v="0"/>
    <x v="5"/>
    <x v="0"/>
    <n v="1"/>
    <n v="316.52999999999997"/>
    <x v="0"/>
    <n v="316.52999999999997"/>
  </r>
  <r>
    <x v="12"/>
    <s v="R1129"/>
    <x v="3"/>
    <x v="1"/>
    <x v="1"/>
    <n v="8"/>
    <n v="278.60000000000002"/>
    <x v="1"/>
    <n v="2228.8000000000002"/>
  </r>
  <r>
    <x v="223"/>
    <s v="R1144"/>
    <x v="0"/>
    <x v="7"/>
    <x v="3"/>
    <n v="5"/>
    <n v="67.98"/>
    <x v="0"/>
    <n v="339.90000000000003"/>
  </r>
  <r>
    <x v="147"/>
    <s v="R1199"/>
    <x v="3"/>
    <x v="12"/>
    <x v="5"/>
    <n v="8"/>
    <n v="352.35"/>
    <x v="0"/>
    <n v="2818.8"/>
  </r>
  <r>
    <x v="224"/>
    <s v="R1198"/>
    <x v="1"/>
    <x v="5"/>
    <x v="0"/>
    <n v="9"/>
    <n v="502.44"/>
    <x v="0"/>
    <n v="4521.96"/>
  </r>
  <r>
    <x v="107"/>
    <s v="R1139"/>
    <x v="2"/>
    <x v="1"/>
    <x v="1"/>
    <n v="2"/>
    <n v="454.79"/>
    <x v="2"/>
    <n v="909.58"/>
  </r>
  <r>
    <x v="194"/>
    <s v="R1008"/>
    <x v="3"/>
    <x v="7"/>
    <x v="3"/>
    <n v="6"/>
    <n v="524.21"/>
    <x v="0"/>
    <n v="3145.26"/>
  </r>
  <r>
    <x v="102"/>
    <s v="R1198"/>
    <x v="2"/>
    <x v="2"/>
    <x v="2"/>
    <n v="10"/>
    <n v="429.02"/>
    <x v="2"/>
    <n v="4290.2"/>
  </r>
  <r>
    <x v="67"/>
    <s v="R1042"/>
    <x v="1"/>
    <x v="2"/>
    <x v="2"/>
    <n v="4"/>
    <n v="497.44"/>
    <x v="0"/>
    <n v="1989.76"/>
  </r>
  <r>
    <x v="225"/>
    <s v="R1071"/>
    <x v="1"/>
    <x v="4"/>
    <x v="3"/>
    <n v="3"/>
    <n v="228.01"/>
    <x v="2"/>
    <n v="684.03"/>
  </r>
  <r>
    <x v="226"/>
    <s v="R1068"/>
    <x v="1"/>
    <x v="11"/>
    <x v="3"/>
    <n v="2"/>
    <n v="124.57"/>
    <x v="1"/>
    <n v="249.14"/>
  </r>
  <r>
    <x v="61"/>
    <s v="R1167"/>
    <x v="2"/>
    <x v="3"/>
    <x v="0"/>
    <n v="3"/>
    <n v="187.32"/>
    <x v="2"/>
    <n v="561.96"/>
  </r>
  <r>
    <x v="227"/>
    <s v="R1194"/>
    <x v="3"/>
    <x v="8"/>
    <x v="0"/>
    <n v="3"/>
    <n v="367.58"/>
    <x v="1"/>
    <n v="1102.74"/>
  </r>
  <r>
    <x v="72"/>
    <s v="R1115"/>
    <x v="0"/>
    <x v="11"/>
    <x v="3"/>
    <n v="2"/>
    <n v="271.57"/>
    <x v="2"/>
    <n v="543.14"/>
  </r>
  <r>
    <x v="80"/>
    <s v="R1116"/>
    <x v="3"/>
    <x v="5"/>
    <x v="0"/>
    <n v="10"/>
    <n v="51.36"/>
    <x v="2"/>
    <n v="513.6"/>
  </r>
  <r>
    <x v="167"/>
    <s v="R1162"/>
    <x v="4"/>
    <x v="6"/>
    <x v="4"/>
    <n v="9"/>
    <n v="268.74"/>
    <x v="1"/>
    <n v="2418.66"/>
  </r>
  <r>
    <x v="97"/>
    <s v="R1068"/>
    <x v="4"/>
    <x v="7"/>
    <x v="3"/>
    <n v="6"/>
    <n v="351.02"/>
    <x v="0"/>
    <n v="2106.12"/>
  </r>
  <r>
    <x v="100"/>
    <s v="R1087"/>
    <x v="0"/>
    <x v="6"/>
    <x v="4"/>
    <n v="2"/>
    <n v="394.4"/>
    <x v="1"/>
    <n v="788.8"/>
  </r>
  <r>
    <x v="228"/>
    <s v="R1112"/>
    <x v="3"/>
    <x v="6"/>
    <x v="4"/>
    <n v="7"/>
    <n v="161.28"/>
    <x v="2"/>
    <n v="1128.96"/>
  </r>
  <r>
    <x v="73"/>
    <s v="R1040"/>
    <x v="4"/>
    <x v="6"/>
    <x v="4"/>
    <n v="6"/>
    <n v="187.71"/>
    <x v="1"/>
    <n v="1126.26"/>
  </r>
  <r>
    <x v="31"/>
    <s v="R1013"/>
    <x v="3"/>
    <x v="11"/>
    <x v="3"/>
    <n v="5"/>
    <n v="449.29"/>
    <x v="0"/>
    <n v="2246.4500000000003"/>
  </r>
  <r>
    <x v="229"/>
    <s v="R1180"/>
    <x v="0"/>
    <x v="6"/>
    <x v="4"/>
    <n v="4"/>
    <n v="312.24"/>
    <x v="0"/>
    <n v="1248.96"/>
  </r>
  <r>
    <x v="178"/>
    <s v="R1174"/>
    <x v="3"/>
    <x v="6"/>
    <x v="4"/>
    <n v="1"/>
    <n v="432.58"/>
    <x v="0"/>
    <n v="432.58"/>
  </r>
  <r>
    <x v="27"/>
    <s v="R1177"/>
    <x v="2"/>
    <x v="8"/>
    <x v="0"/>
    <n v="2"/>
    <n v="175.92"/>
    <x v="0"/>
    <n v="351.84"/>
  </r>
  <r>
    <x v="230"/>
    <s v="R1026"/>
    <x v="4"/>
    <x v="5"/>
    <x v="0"/>
    <n v="5"/>
    <n v="125.42"/>
    <x v="0"/>
    <n v="627.1"/>
  </r>
  <r>
    <x v="139"/>
    <s v="R1017"/>
    <x v="1"/>
    <x v="12"/>
    <x v="5"/>
    <n v="1"/>
    <n v="385.68"/>
    <x v="0"/>
    <n v="385.68"/>
  </r>
  <r>
    <x v="173"/>
    <s v="R1160"/>
    <x v="2"/>
    <x v="1"/>
    <x v="1"/>
    <n v="10"/>
    <n v="427.61"/>
    <x v="0"/>
    <n v="4276.1000000000004"/>
  </r>
  <r>
    <x v="231"/>
    <s v="R1035"/>
    <x v="0"/>
    <x v="12"/>
    <x v="5"/>
    <n v="7"/>
    <n v="243.34"/>
    <x v="1"/>
    <n v="1703.38"/>
  </r>
  <r>
    <x v="160"/>
    <s v="R1063"/>
    <x v="4"/>
    <x v="11"/>
    <x v="3"/>
    <n v="2"/>
    <n v="186.49"/>
    <x v="2"/>
    <n v="372.98"/>
  </r>
  <r>
    <x v="232"/>
    <s v="R1072"/>
    <x v="0"/>
    <x v="11"/>
    <x v="3"/>
    <n v="5"/>
    <n v="163"/>
    <x v="2"/>
    <n v="815"/>
  </r>
  <r>
    <x v="154"/>
    <s v="R1075"/>
    <x v="0"/>
    <x v="7"/>
    <x v="3"/>
    <n v="8"/>
    <n v="262.24"/>
    <x v="0"/>
    <n v="2097.92"/>
  </r>
  <r>
    <x v="216"/>
    <s v="R1018"/>
    <x v="1"/>
    <x v="6"/>
    <x v="4"/>
    <n v="6"/>
    <n v="563.66"/>
    <x v="0"/>
    <n v="3381.96"/>
  </r>
  <r>
    <x v="94"/>
    <s v="R1107"/>
    <x v="4"/>
    <x v="4"/>
    <x v="3"/>
    <n v="3"/>
    <n v="469.5"/>
    <x v="0"/>
    <n v="1408.5"/>
  </r>
  <r>
    <x v="233"/>
    <s v="R1003"/>
    <x v="4"/>
    <x v="2"/>
    <x v="2"/>
    <n v="1"/>
    <n v="557.41999999999996"/>
    <x v="1"/>
    <n v="557.41999999999996"/>
  </r>
  <r>
    <x v="234"/>
    <s v="R1182"/>
    <x v="1"/>
    <x v="1"/>
    <x v="1"/>
    <n v="7"/>
    <n v="436"/>
    <x v="0"/>
    <n v="3052"/>
  </r>
  <r>
    <x v="124"/>
    <s v="R1157"/>
    <x v="2"/>
    <x v="7"/>
    <x v="3"/>
    <n v="2"/>
    <n v="220.45"/>
    <x v="2"/>
    <n v="440.9"/>
  </r>
  <r>
    <x v="108"/>
    <s v="R1137"/>
    <x v="4"/>
    <x v="1"/>
    <x v="1"/>
    <n v="10"/>
    <n v="398.86"/>
    <x v="2"/>
    <n v="3988.6000000000004"/>
  </r>
  <r>
    <x v="153"/>
    <s v="R1079"/>
    <x v="3"/>
    <x v="0"/>
    <x v="0"/>
    <n v="4"/>
    <n v="81.849999999999994"/>
    <x v="0"/>
    <n v="327.39999999999998"/>
  </r>
  <r>
    <x v="98"/>
    <s v="R1116"/>
    <x v="1"/>
    <x v="9"/>
    <x v="5"/>
    <n v="1"/>
    <n v="220.11"/>
    <x v="2"/>
    <n v="220.11"/>
  </r>
  <r>
    <x v="53"/>
    <s v="R1030"/>
    <x v="0"/>
    <x v="3"/>
    <x v="0"/>
    <n v="3"/>
    <n v="435.82"/>
    <x v="0"/>
    <n v="1307.46"/>
  </r>
  <r>
    <x v="235"/>
    <s v="R1133"/>
    <x v="1"/>
    <x v="0"/>
    <x v="0"/>
    <n v="5"/>
    <n v="141.83000000000001"/>
    <x v="0"/>
    <n v="709.15000000000009"/>
  </r>
  <r>
    <x v="224"/>
    <s v="R1187"/>
    <x v="0"/>
    <x v="6"/>
    <x v="4"/>
    <n v="6"/>
    <n v="493.91"/>
    <x v="1"/>
    <n v="2963.46"/>
  </r>
  <r>
    <x v="17"/>
    <s v="R1182"/>
    <x v="1"/>
    <x v="11"/>
    <x v="3"/>
    <n v="2"/>
    <n v="322.88"/>
    <x v="2"/>
    <n v="645.76"/>
  </r>
  <r>
    <x v="184"/>
    <s v="R1145"/>
    <x v="2"/>
    <x v="5"/>
    <x v="0"/>
    <n v="3"/>
    <n v="190.31"/>
    <x v="0"/>
    <n v="570.93000000000006"/>
  </r>
  <r>
    <x v="98"/>
    <s v="R1058"/>
    <x v="1"/>
    <x v="6"/>
    <x v="4"/>
    <n v="1"/>
    <n v="522.28"/>
    <x v="0"/>
    <n v="522.28"/>
  </r>
  <r>
    <x v="196"/>
    <s v="R1093"/>
    <x v="3"/>
    <x v="2"/>
    <x v="2"/>
    <n v="3"/>
    <n v="562.14"/>
    <x v="0"/>
    <n v="1686.42"/>
  </r>
  <r>
    <x v="35"/>
    <s v="R1057"/>
    <x v="4"/>
    <x v="7"/>
    <x v="3"/>
    <n v="7"/>
    <n v="553.72"/>
    <x v="1"/>
    <n v="3876.04"/>
  </r>
  <r>
    <x v="150"/>
    <s v="R1146"/>
    <x v="4"/>
    <x v="6"/>
    <x v="4"/>
    <n v="9"/>
    <n v="420.33"/>
    <x v="0"/>
    <n v="3782.97"/>
  </r>
  <r>
    <x v="236"/>
    <s v="R1011"/>
    <x v="3"/>
    <x v="6"/>
    <x v="4"/>
    <n v="8"/>
    <n v="526.32000000000005"/>
    <x v="1"/>
    <n v="4210.5600000000004"/>
  </r>
  <r>
    <x v="84"/>
    <s v="R1116"/>
    <x v="0"/>
    <x v="5"/>
    <x v="0"/>
    <n v="4"/>
    <n v="210.38"/>
    <x v="1"/>
    <n v="841.52"/>
  </r>
  <r>
    <x v="26"/>
    <s v="R1118"/>
    <x v="4"/>
    <x v="12"/>
    <x v="5"/>
    <n v="8"/>
    <n v="598.78"/>
    <x v="0"/>
    <n v="4790.24"/>
  </r>
  <r>
    <x v="1"/>
    <s v="R1194"/>
    <x v="2"/>
    <x v="2"/>
    <x v="2"/>
    <n v="1"/>
    <n v="562.82000000000005"/>
    <x v="0"/>
    <n v="562.82000000000005"/>
  </r>
  <r>
    <x v="235"/>
    <s v="R1162"/>
    <x v="0"/>
    <x v="5"/>
    <x v="0"/>
    <n v="1"/>
    <n v="467.41"/>
    <x v="1"/>
    <n v="467.41"/>
  </r>
  <r>
    <x v="20"/>
    <s v="R1026"/>
    <x v="2"/>
    <x v="10"/>
    <x v="3"/>
    <n v="4"/>
    <n v="280.89999999999998"/>
    <x v="0"/>
    <n v="1123.5999999999999"/>
  </r>
  <r>
    <x v="237"/>
    <s v="R1182"/>
    <x v="4"/>
    <x v="6"/>
    <x v="4"/>
    <n v="1"/>
    <n v="556.70000000000005"/>
    <x v="2"/>
    <n v="556.70000000000005"/>
  </r>
  <r>
    <x v="134"/>
    <s v="R1117"/>
    <x v="0"/>
    <x v="12"/>
    <x v="5"/>
    <n v="2"/>
    <n v="327.99"/>
    <x v="2"/>
    <n v="655.98"/>
  </r>
  <r>
    <x v="238"/>
    <s v="R1151"/>
    <x v="1"/>
    <x v="6"/>
    <x v="4"/>
    <n v="7"/>
    <n v="414.34"/>
    <x v="0"/>
    <n v="2900.3799999999997"/>
  </r>
  <r>
    <x v="239"/>
    <s v="R1080"/>
    <x v="3"/>
    <x v="3"/>
    <x v="0"/>
    <n v="6"/>
    <n v="224.93"/>
    <x v="1"/>
    <n v="1349.58"/>
  </r>
  <r>
    <x v="240"/>
    <s v="R1034"/>
    <x v="1"/>
    <x v="6"/>
    <x v="4"/>
    <n v="3"/>
    <n v="108.11"/>
    <x v="1"/>
    <n v="324.33"/>
  </r>
  <r>
    <x v="241"/>
    <s v="R1030"/>
    <x v="1"/>
    <x v="5"/>
    <x v="0"/>
    <n v="4"/>
    <n v="298.55"/>
    <x v="1"/>
    <n v="1194.2"/>
  </r>
  <r>
    <x v="143"/>
    <s v="R1023"/>
    <x v="2"/>
    <x v="11"/>
    <x v="3"/>
    <n v="5"/>
    <n v="504.51"/>
    <x v="2"/>
    <n v="2522.5500000000002"/>
  </r>
  <r>
    <x v="161"/>
    <s v="R1083"/>
    <x v="2"/>
    <x v="6"/>
    <x v="4"/>
    <n v="4"/>
    <n v="582.62"/>
    <x v="1"/>
    <n v="2330.48"/>
  </r>
  <r>
    <x v="188"/>
    <s v="R1066"/>
    <x v="2"/>
    <x v="6"/>
    <x v="4"/>
    <n v="7"/>
    <n v="520.03"/>
    <x v="2"/>
    <n v="3640.21"/>
  </r>
  <r>
    <x v="45"/>
    <s v="R1024"/>
    <x v="3"/>
    <x v="6"/>
    <x v="4"/>
    <n v="3"/>
    <n v="116.8"/>
    <x v="0"/>
    <n v="350.4"/>
  </r>
  <r>
    <x v="46"/>
    <s v="R1033"/>
    <x v="2"/>
    <x v="1"/>
    <x v="1"/>
    <n v="6"/>
    <n v="427.46"/>
    <x v="2"/>
    <n v="2564.7599999999998"/>
  </r>
  <r>
    <x v="115"/>
    <s v="R1066"/>
    <x v="0"/>
    <x v="6"/>
    <x v="4"/>
    <n v="2"/>
    <n v="158.76"/>
    <x v="2"/>
    <n v="317.52"/>
  </r>
  <r>
    <x v="242"/>
    <s v="R1023"/>
    <x v="4"/>
    <x v="6"/>
    <x v="4"/>
    <n v="1"/>
    <n v="568.25"/>
    <x v="0"/>
    <n v="568.25"/>
  </r>
  <r>
    <x v="226"/>
    <s v="R1110"/>
    <x v="3"/>
    <x v="8"/>
    <x v="0"/>
    <n v="1"/>
    <n v="260.5"/>
    <x v="1"/>
    <n v="260.5"/>
  </r>
  <r>
    <x v="173"/>
    <s v="R1047"/>
    <x v="4"/>
    <x v="7"/>
    <x v="3"/>
    <n v="8"/>
    <n v="535.88"/>
    <x v="0"/>
    <n v="4287.04"/>
  </r>
  <r>
    <x v="209"/>
    <s v="R1062"/>
    <x v="4"/>
    <x v="8"/>
    <x v="0"/>
    <n v="7"/>
    <n v="535.53"/>
    <x v="1"/>
    <n v="3748.71"/>
  </r>
  <r>
    <x v="187"/>
    <s v="R1098"/>
    <x v="2"/>
    <x v="1"/>
    <x v="1"/>
    <n v="4"/>
    <n v="403.46"/>
    <x v="2"/>
    <n v="1613.84"/>
  </r>
  <r>
    <x v="243"/>
    <s v="R1004"/>
    <x v="3"/>
    <x v="3"/>
    <x v="0"/>
    <n v="6"/>
    <n v="313.83"/>
    <x v="1"/>
    <n v="1882.98"/>
  </r>
  <r>
    <x v="244"/>
    <s v="R1128"/>
    <x v="4"/>
    <x v="1"/>
    <x v="1"/>
    <n v="5"/>
    <n v="148.9"/>
    <x v="1"/>
    <n v="744.5"/>
  </r>
  <r>
    <x v="70"/>
    <s v="R1199"/>
    <x v="4"/>
    <x v="6"/>
    <x v="4"/>
    <n v="8"/>
    <n v="341.19"/>
    <x v="2"/>
    <n v="2729.52"/>
  </r>
  <r>
    <x v="14"/>
    <s v="R1025"/>
    <x v="2"/>
    <x v="11"/>
    <x v="3"/>
    <n v="4"/>
    <n v="196.59"/>
    <x v="2"/>
    <n v="786.36"/>
  </r>
  <r>
    <x v="13"/>
    <s v="R1147"/>
    <x v="3"/>
    <x v="5"/>
    <x v="0"/>
    <n v="3"/>
    <n v="146.86000000000001"/>
    <x v="2"/>
    <n v="440.58000000000004"/>
  </r>
  <r>
    <x v="245"/>
    <s v="R1151"/>
    <x v="0"/>
    <x v="3"/>
    <x v="0"/>
    <n v="6"/>
    <n v="571.16"/>
    <x v="2"/>
    <n v="3426.96"/>
  </r>
  <r>
    <x v="246"/>
    <s v="R1126"/>
    <x v="1"/>
    <x v="7"/>
    <x v="3"/>
    <n v="3"/>
    <n v="319.74"/>
    <x v="0"/>
    <n v="959.22"/>
  </r>
  <r>
    <x v="2"/>
    <s v="R1056"/>
    <x v="0"/>
    <x v="10"/>
    <x v="3"/>
    <n v="8"/>
    <n v="50.38"/>
    <x v="2"/>
    <n v="403.04"/>
  </r>
  <r>
    <x v="183"/>
    <s v="R1087"/>
    <x v="2"/>
    <x v="5"/>
    <x v="0"/>
    <n v="1"/>
    <n v="62.05"/>
    <x v="2"/>
    <n v="62.05"/>
  </r>
  <r>
    <x v="237"/>
    <s v="R1198"/>
    <x v="0"/>
    <x v="10"/>
    <x v="3"/>
    <n v="6"/>
    <n v="578.30999999999995"/>
    <x v="1"/>
    <n v="3469.8599999999997"/>
  </r>
  <r>
    <x v="195"/>
    <s v="R1150"/>
    <x v="0"/>
    <x v="5"/>
    <x v="0"/>
    <n v="5"/>
    <n v="227.43"/>
    <x v="0"/>
    <n v="1137.1500000000001"/>
  </r>
  <r>
    <x v="158"/>
    <s v="R1163"/>
    <x v="3"/>
    <x v="11"/>
    <x v="3"/>
    <n v="6"/>
    <n v="145.81"/>
    <x v="2"/>
    <n v="874.86"/>
  </r>
  <r>
    <x v="213"/>
    <s v="R1091"/>
    <x v="2"/>
    <x v="11"/>
    <x v="3"/>
    <n v="10"/>
    <n v="497.95"/>
    <x v="1"/>
    <n v="4979.5"/>
  </r>
  <r>
    <x v="6"/>
    <s v="R1032"/>
    <x v="2"/>
    <x v="0"/>
    <x v="0"/>
    <n v="1"/>
    <n v="571.83000000000004"/>
    <x v="2"/>
    <n v="571.83000000000004"/>
  </r>
  <r>
    <x v="247"/>
    <s v="R1008"/>
    <x v="2"/>
    <x v="9"/>
    <x v="5"/>
    <n v="6"/>
    <n v="556.57000000000005"/>
    <x v="2"/>
    <n v="3339.42"/>
  </r>
  <r>
    <x v="244"/>
    <s v="R1026"/>
    <x v="3"/>
    <x v="2"/>
    <x v="2"/>
    <n v="6"/>
    <n v="459.94"/>
    <x v="0"/>
    <n v="2759.64"/>
  </r>
  <r>
    <x v="219"/>
    <s v="R1042"/>
    <x v="0"/>
    <x v="3"/>
    <x v="0"/>
    <n v="6"/>
    <n v="295.64999999999998"/>
    <x v="1"/>
    <n v="1773.8999999999999"/>
  </r>
  <r>
    <x v="233"/>
    <s v="R1089"/>
    <x v="4"/>
    <x v="6"/>
    <x v="4"/>
    <n v="1"/>
    <n v="76.48"/>
    <x v="1"/>
    <n v="76.48"/>
  </r>
  <r>
    <x v="248"/>
    <s v="R1105"/>
    <x v="3"/>
    <x v="1"/>
    <x v="1"/>
    <n v="6"/>
    <n v="350.31"/>
    <x v="0"/>
    <n v="2101.86"/>
  </r>
  <r>
    <x v="249"/>
    <s v="R1166"/>
    <x v="2"/>
    <x v="2"/>
    <x v="2"/>
    <n v="8"/>
    <n v="90.54"/>
    <x v="0"/>
    <n v="724.32"/>
  </r>
  <r>
    <x v="219"/>
    <s v="R1066"/>
    <x v="0"/>
    <x v="6"/>
    <x v="4"/>
    <n v="6"/>
    <n v="143.56"/>
    <x v="1"/>
    <n v="861.36"/>
  </r>
  <r>
    <x v="238"/>
    <s v="R1140"/>
    <x v="0"/>
    <x v="5"/>
    <x v="0"/>
    <n v="10"/>
    <n v="591.9"/>
    <x v="1"/>
    <n v="5919"/>
  </r>
  <r>
    <x v="250"/>
    <s v="R1167"/>
    <x v="2"/>
    <x v="9"/>
    <x v="5"/>
    <n v="7"/>
    <n v="136.41"/>
    <x v="0"/>
    <n v="954.87"/>
  </r>
  <r>
    <x v="117"/>
    <s v="R1104"/>
    <x v="1"/>
    <x v="0"/>
    <x v="0"/>
    <n v="9"/>
    <n v="195.9"/>
    <x v="1"/>
    <n v="1763.1000000000001"/>
  </r>
  <r>
    <x v="251"/>
    <s v="R1012"/>
    <x v="3"/>
    <x v="12"/>
    <x v="5"/>
    <n v="9"/>
    <n v="511.92"/>
    <x v="0"/>
    <n v="4607.28"/>
  </r>
  <r>
    <x v="252"/>
    <s v="R1109"/>
    <x v="0"/>
    <x v="7"/>
    <x v="3"/>
    <n v="10"/>
    <n v="314.18"/>
    <x v="0"/>
    <n v="3141.8"/>
  </r>
  <r>
    <x v="253"/>
    <s v="R1163"/>
    <x v="4"/>
    <x v="6"/>
    <x v="4"/>
    <n v="8"/>
    <n v="514.07000000000005"/>
    <x v="1"/>
    <n v="4112.5600000000004"/>
  </r>
  <r>
    <x v="196"/>
    <s v="R1125"/>
    <x v="4"/>
    <x v="6"/>
    <x v="4"/>
    <n v="9"/>
    <n v="263.14"/>
    <x v="1"/>
    <n v="2368.2599999999998"/>
  </r>
  <r>
    <x v="74"/>
    <s v="R1047"/>
    <x v="3"/>
    <x v="6"/>
    <x v="4"/>
    <n v="5"/>
    <n v="291.86"/>
    <x v="1"/>
    <n v="1459.3000000000002"/>
  </r>
  <r>
    <x v="224"/>
    <s v="R1144"/>
    <x v="0"/>
    <x v="2"/>
    <x v="2"/>
    <n v="2"/>
    <n v="97.14"/>
    <x v="1"/>
    <n v="194.28"/>
  </r>
  <r>
    <x v="254"/>
    <s v="R1193"/>
    <x v="1"/>
    <x v="7"/>
    <x v="3"/>
    <n v="9"/>
    <n v="83.54"/>
    <x v="1"/>
    <n v="751.86"/>
  </r>
  <r>
    <x v="35"/>
    <s v="R1137"/>
    <x v="3"/>
    <x v="12"/>
    <x v="5"/>
    <n v="4"/>
    <n v="311.94"/>
    <x v="0"/>
    <n v="1247.76"/>
  </r>
  <r>
    <x v="171"/>
    <s v="R1128"/>
    <x v="1"/>
    <x v="10"/>
    <x v="3"/>
    <n v="10"/>
    <n v="422.64"/>
    <x v="2"/>
    <n v="4226.3999999999996"/>
  </r>
  <r>
    <x v="149"/>
    <s v="R1044"/>
    <x v="2"/>
    <x v="2"/>
    <x v="2"/>
    <n v="4"/>
    <n v="119.4"/>
    <x v="1"/>
    <n v="477.6"/>
  </r>
  <r>
    <x v="255"/>
    <s v="R1051"/>
    <x v="2"/>
    <x v="9"/>
    <x v="5"/>
    <n v="5"/>
    <n v="225.86"/>
    <x v="2"/>
    <n v="1129.3000000000002"/>
  </r>
  <r>
    <x v="233"/>
    <s v="R1022"/>
    <x v="3"/>
    <x v="4"/>
    <x v="3"/>
    <n v="7"/>
    <n v="353.63"/>
    <x v="1"/>
    <n v="2475.41"/>
  </r>
  <r>
    <x v="256"/>
    <s v="R1179"/>
    <x v="1"/>
    <x v="12"/>
    <x v="5"/>
    <n v="9"/>
    <n v="479.93"/>
    <x v="0"/>
    <n v="4319.37"/>
  </r>
  <r>
    <x v="130"/>
    <s v="R1145"/>
    <x v="1"/>
    <x v="12"/>
    <x v="5"/>
    <n v="2"/>
    <n v="558.71"/>
    <x v="2"/>
    <n v="1117.42"/>
  </r>
  <r>
    <x v="257"/>
    <s v="R1137"/>
    <x v="4"/>
    <x v="1"/>
    <x v="1"/>
    <n v="5"/>
    <n v="260.67"/>
    <x v="1"/>
    <n v="1303.3500000000001"/>
  </r>
  <r>
    <x v="258"/>
    <s v="R1009"/>
    <x v="2"/>
    <x v="7"/>
    <x v="3"/>
    <n v="7"/>
    <n v="129.12"/>
    <x v="2"/>
    <n v="903.84"/>
  </r>
  <r>
    <x v="146"/>
    <s v="R1009"/>
    <x v="3"/>
    <x v="5"/>
    <x v="0"/>
    <n v="4"/>
    <n v="77.11"/>
    <x v="1"/>
    <n v="308.44"/>
  </r>
  <r>
    <x v="134"/>
    <s v="R1005"/>
    <x v="4"/>
    <x v="7"/>
    <x v="3"/>
    <n v="5"/>
    <n v="204.19"/>
    <x v="1"/>
    <n v="1020.95"/>
  </r>
  <r>
    <x v="90"/>
    <s v="R1058"/>
    <x v="2"/>
    <x v="7"/>
    <x v="3"/>
    <n v="8"/>
    <n v="475.72"/>
    <x v="1"/>
    <n v="3805.76"/>
  </r>
  <r>
    <x v="88"/>
    <s v="R1154"/>
    <x v="0"/>
    <x v="2"/>
    <x v="2"/>
    <n v="8"/>
    <n v="166.26"/>
    <x v="1"/>
    <n v="1330.08"/>
  </r>
  <r>
    <x v="236"/>
    <s v="R1095"/>
    <x v="0"/>
    <x v="10"/>
    <x v="3"/>
    <n v="3"/>
    <n v="86.09"/>
    <x v="2"/>
    <n v="258.27"/>
  </r>
  <r>
    <x v="218"/>
    <s v="R1199"/>
    <x v="1"/>
    <x v="12"/>
    <x v="5"/>
    <n v="1"/>
    <n v="145.56"/>
    <x v="0"/>
    <n v="14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A1941-F0B6-4CE3-A715-2F40CC9C2E9D}" name="Revenue by Payment method/branch"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Branch">
  <location ref="A38:C53" firstHeaderRow="1" firstDataRow="1" firstDataCol="2"/>
  <pivotFields count="11">
    <pivotField compact="0" numFmtId="14" outline="0" showAll="0" defaultSubtotal="0">
      <items count="259">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s>
    </pivotField>
    <pivotField compact="0" outline="0" showAll="0" defaultSubtotal="0"/>
    <pivotField axis="axisRow" compact="0" outline="0" showAll="0" defaultSubtotal="0">
      <items count="5">
        <item x="4"/>
        <item x="0"/>
        <item x="1"/>
        <item x="3"/>
        <item x="2"/>
      </items>
    </pivotField>
    <pivotField compact="0" outline="0" showAll="0" defaultSubtotal="0"/>
    <pivotField compact="0" outline="0" showAll="0" defaultSubtotal="0">
      <items count="6">
        <item x="2"/>
        <item x="4"/>
        <item x="1"/>
        <item x="3"/>
        <item x="5"/>
        <item x="0"/>
      </items>
    </pivotField>
    <pivotField compact="0" outline="0" showAll="0" defaultSubtotal="0"/>
    <pivotField compact="0" numFmtId="165" outline="0" showAll="0" defaultSubtotal="0"/>
    <pivotField axis="axisRow" compact="0" outline="0"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dataField="1" compact="0" numFmtId="165"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2">
    <field x="2"/>
    <field x="7"/>
  </rowFields>
  <rowItems count="15">
    <i>
      <x/>
      <x/>
    </i>
    <i r="1">
      <x v="1"/>
    </i>
    <i r="1">
      <x v="2"/>
    </i>
    <i>
      <x v="1"/>
      <x/>
    </i>
    <i r="1">
      <x v="2"/>
    </i>
    <i r="1">
      <x v="1"/>
    </i>
    <i>
      <x v="2"/>
      <x v="1"/>
    </i>
    <i r="1">
      <x/>
    </i>
    <i r="1">
      <x v="2"/>
    </i>
    <i>
      <x v="3"/>
      <x v="1"/>
    </i>
    <i r="1">
      <x v="2"/>
    </i>
    <i r="1">
      <x/>
    </i>
    <i>
      <x v="4"/>
      <x v="2"/>
    </i>
    <i r="1">
      <x v="1"/>
    </i>
    <i r="1">
      <x/>
    </i>
  </rowItems>
  <colItems count="1">
    <i/>
  </colItems>
  <dataFields count="1">
    <dataField name="Total Revenue" fld="8"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128D5A-A728-4866-97A8-ACEF642DA244}" name="Revenue by Item"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Branch">
  <location ref="A20:B33" firstHeaderRow="1" firstDataRow="1" firstDataCol="1"/>
  <pivotFields count="11">
    <pivotField compact="0" numFmtId="14" outline="0" showAll="0" defaultSubtotal="0">
      <items count="259">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s>
    </pivotField>
    <pivotField compact="0" outline="0" showAll="0" defaultSubtotal="0"/>
    <pivotField compact="0" outline="0" showAll="0" defaultSubtotal="0">
      <items count="5">
        <item x="4"/>
        <item x="0"/>
        <item x="1"/>
        <item x="3"/>
        <item x="2"/>
      </items>
    </pivotField>
    <pivotField axis="axisRow" compact="0" outline="0" showAll="0" sortType="descending" defaultSubtotal="0">
      <items count="14">
        <item x="2"/>
        <item x="1"/>
        <item x="8"/>
        <item x="4"/>
        <item x="6"/>
        <item x="0"/>
        <item x="5"/>
        <item x="11"/>
        <item x="9"/>
        <item m="1" x="13"/>
        <item x="7"/>
        <item x="3"/>
        <item x="12"/>
        <item x="10"/>
      </items>
      <autoSortScope>
        <pivotArea dataOnly="0" outline="0" fieldPosition="0">
          <references count="1">
            <reference field="4294967294" count="1" selected="0">
              <x v="0"/>
            </reference>
          </references>
        </pivotArea>
      </autoSortScope>
    </pivotField>
    <pivotField compact="0" outline="0" showAll="0" defaultSubtotal="0">
      <items count="6">
        <item x="2"/>
        <item x="4"/>
        <item x="1"/>
        <item x="3"/>
        <item x="5"/>
        <item x="0"/>
      </items>
    </pivotField>
    <pivotField compact="0" outline="0" showAll="0" defaultSubtotal="0"/>
    <pivotField compact="0" numFmtId="165" outline="0" showAll="0" defaultSubtotal="0"/>
    <pivotField compact="0" outline="0"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dataField="1" compact="0" numFmtId="165"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1">
    <field x="3"/>
  </rowFields>
  <rowItems count="13">
    <i>
      <x v="4"/>
    </i>
    <i>
      <x v="10"/>
    </i>
    <i>
      <x v="7"/>
    </i>
    <i>
      <x v="6"/>
    </i>
    <i>
      <x v="1"/>
    </i>
    <i>
      <x/>
    </i>
    <i>
      <x v="2"/>
    </i>
    <i>
      <x v="8"/>
    </i>
    <i>
      <x v="12"/>
    </i>
    <i>
      <x v="11"/>
    </i>
    <i>
      <x v="5"/>
    </i>
    <i>
      <x v="13"/>
    </i>
    <i>
      <x v="3"/>
    </i>
  </rowItems>
  <colItems count="1">
    <i/>
  </colItems>
  <dataFields count="1">
    <dataField name="Total Revenue" fld="8" baseField="0" baseItem="0" numFmtId="166"/>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B3E93C-54B3-40C2-9C79-37D999CBD2EE}" name="Revenue by Category"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11:B17" firstHeaderRow="1" firstDataRow="1" firstDataCol="1"/>
  <pivotFields count="11">
    <pivotField numFmtId="14" showAll="0">
      <items count="260">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 t="default"/>
      </items>
    </pivotField>
    <pivotField showAll="0"/>
    <pivotField showAll="0">
      <items count="6">
        <item x="4"/>
        <item x="0"/>
        <item x="1"/>
        <item x="3"/>
        <item x="2"/>
        <item t="default"/>
      </items>
    </pivotField>
    <pivotField showAll="0"/>
    <pivotField axis="axisRow" showAll="0">
      <items count="7">
        <item x="2"/>
        <item x="4"/>
        <item x="1"/>
        <item x="3"/>
        <item x="5"/>
        <item x="0"/>
        <item t="default"/>
      </items>
    </pivotField>
    <pivotField showAll="0"/>
    <pivotField numFmtId="165" showAll="0"/>
    <pivotField showAll="0">
      <items count="4">
        <item x="1"/>
        <item x="0"/>
        <item x="2"/>
        <item t="default"/>
      </items>
    </pivotField>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x v="5"/>
    </i>
  </rowItems>
  <colItems count="1">
    <i/>
  </colItems>
  <dataFields count="1">
    <dataField name="Total Revenue" fld="8" baseField="0" baseItem="0"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CB3F1-A1B2-4544-A5DD-9A24F542D5C2}" name="Revenue by Payment"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rowHeaderCaption="Branch">
  <location ref="A103:B106" firstHeaderRow="1" firstDataRow="1" firstDataCol="1"/>
  <pivotFields count="11">
    <pivotField compact="0" numFmtId="14" outline="0" showAll="0" defaultSubtotal="0">
      <items count="259">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s>
    </pivotField>
    <pivotField compact="0" outline="0" showAll="0" defaultSubtotal="0"/>
    <pivotField compact="0" outline="0" showAll="0" defaultSubtotal="0"/>
    <pivotField compact="0" outline="0" showAll="0" defaultSubtotal="0"/>
    <pivotField compact="0" outline="0" showAll="0" defaultSubtotal="0">
      <items count="6">
        <item x="2"/>
        <item x="4"/>
        <item x="1"/>
        <item x="3"/>
        <item x="5"/>
        <item x="0"/>
      </items>
    </pivotField>
    <pivotField compact="0" outline="0" showAll="0" defaultSubtotal="0"/>
    <pivotField compact="0" numFmtId="165" outline="0" showAll="0" defaultSubtotal="0"/>
    <pivotField axis="axisRow" compact="0" outline="0"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dataField="1" compact="0" numFmtId="165"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name="Months "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3">
    <i>
      <x/>
    </i>
    <i>
      <x v="1"/>
    </i>
    <i>
      <x v="2"/>
    </i>
  </rowItems>
  <colItems count="1">
    <i/>
  </colItems>
  <dataFields count="1">
    <dataField name="Total Revenue" fld="8" baseField="0" baseItem="0" numFmtId="166"/>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2183C-85DF-4387-8DCD-69A115076C6B}" name="Quantity by category/branch"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rowHeaderCaption="Branch">
  <location ref="A56:C86" firstHeaderRow="1" firstDataRow="1" firstDataCol="2"/>
  <pivotFields count="11">
    <pivotField compact="0" numFmtId="14" outline="0" showAll="0" defaultSubtotal="0">
      <items count="259">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s>
    </pivotField>
    <pivotField compact="0" outline="0" showAll="0" defaultSubtotal="0"/>
    <pivotField axis="axisRow" compact="0" outline="0" showAll="0" defaultSubtotal="0">
      <items count="5">
        <item x="4"/>
        <item x="0"/>
        <item x="1"/>
        <item x="3"/>
        <item x="2"/>
      </items>
    </pivotField>
    <pivotField compact="0" outline="0" showAll="0" defaultSubtotal="0"/>
    <pivotField axis="axisRow" compact="0" outline="0" showAll="0" defaultSubtotal="0">
      <items count="6">
        <item x="2"/>
        <item x="4"/>
        <item x="1"/>
        <item x="3"/>
        <item x="5"/>
        <item x="0"/>
      </items>
    </pivotField>
    <pivotField compact="0" outline="0" showAll="0" defaultSubtotal="0"/>
    <pivotField compact="0" numFmtId="165" outline="0" showAll="0" defaultSubtotal="0"/>
    <pivotField compact="0" outline="0" showAll="0" defaultSubtotal="0"/>
    <pivotField dataField="1" compact="0" numFmtId="165"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2">
    <field x="2"/>
    <field x="4"/>
  </rowFields>
  <rowItems count="30">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rowItems>
  <colItems count="1">
    <i/>
  </colItems>
  <dataFields count="1">
    <dataField name="Sum of Revenue" fld="8" baseField="0" baseItem="0"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7DD093-4BF9-4AF1-81FB-CA8ED3AAB4E6}" name="Revenue_by branch"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ranch">
  <location ref="A3:B8" firstHeaderRow="1" firstDataRow="1" firstDataCol="1"/>
  <pivotFields count="11">
    <pivotField numFmtId="14" showAll="0">
      <items count="260">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 t="default"/>
      </items>
    </pivotField>
    <pivotField showAll="0"/>
    <pivotField axis="axisRow" showAll="0">
      <items count="6">
        <item x="4"/>
        <item x="0"/>
        <item x="1"/>
        <item x="3"/>
        <item x="2"/>
        <item t="default"/>
      </items>
    </pivotField>
    <pivotField showAll="0"/>
    <pivotField showAll="0">
      <items count="7">
        <item x="2"/>
        <item x="4"/>
        <item x="1"/>
        <item x="3"/>
        <item x="5"/>
        <item x="0"/>
        <item t="default"/>
      </items>
    </pivotField>
    <pivotField showAll="0"/>
    <pivotField numFmtId="165" showAll="0"/>
    <pivotField showAll="0">
      <items count="4">
        <item x="1"/>
        <item x="0"/>
        <item x="2"/>
        <item t="default"/>
      </items>
    </pivotField>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Total Revenue" fld="8" baseField="0" baseItem="0"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910AA6-D856-4C87-B0E9-65C78F2CAAC0}" name="Revenue by month"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Branch">
  <location ref="A89:B100" firstHeaderRow="1" firstDataRow="1" firstDataCol="1"/>
  <pivotFields count="11">
    <pivotField compact="0" numFmtId="14" outline="0" showAll="0" defaultSubtotal="0">
      <items count="259">
        <item x="252"/>
        <item x="3"/>
        <item x="114"/>
        <item x="256"/>
        <item x="205"/>
        <item x="79"/>
        <item x="145"/>
        <item x="127"/>
        <item x="65"/>
        <item x="70"/>
        <item x="10"/>
        <item x="171"/>
        <item x="110"/>
        <item x="151"/>
        <item x="5"/>
        <item x="56"/>
        <item x="208"/>
        <item x="59"/>
        <item x="41"/>
        <item x="99"/>
        <item x="111"/>
        <item x="203"/>
        <item x="63"/>
        <item x="153"/>
        <item x="233"/>
        <item x="21"/>
        <item x="9"/>
        <item x="37"/>
        <item x="238"/>
        <item x="150"/>
        <item x="200"/>
        <item x="223"/>
        <item x="163"/>
        <item x="197"/>
        <item x="229"/>
        <item x="251"/>
        <item x="90"/>
        <item x="231"/>
        <item x="230"/>
        <item x="39"/>
        <item x="58"/>
        <item x="122"/>
        <item x="162"/>
        <item x="199"/>
        <item x="71"/>
        <item x="98"/>
        <item x="102"/>
        <item x="143"/>
        <item x="135"/>
        <item x="157"/>
        <item x="242"/>
        <item x="183"/>
        <item x="166"/>
        <item x="218"/>
        <item x="160"/>
        <item x="237"/>
        <item x="139"/>
        <item x="130"/>
        <item x="42"/>
        <item x="87"/>
        <item x="62"/>
        <item x="108"/>
        <item x="228"/>
        <item x="14"/>
        <item x="31"/>
        <item x="248"/>
        <item x="147"/>
        <item x="253"/>
        <item x="91"/>
        <item x="53"/>
        <item x="44"/>
        <item x="210"/>
        <item x="112"/>
        <item x="78"/>
        <item x="172"/>
        <item x="246"/>
        <item x="117"/>
        <item x="47"/>
        <item x="186"/>
        <item x="175"/>
        <item x="240"/>
        <item x="204"/>
        <item x="221"/>
        <item x="54"/>
        <item x="173"/>
        <item x="161"/>
        <item x="13"/>
        <item x="46"/>
        <item x="202"/>
        <item x="120"/>
        <item x="7"/>
        <item x="144"/>
        <item x="93"/>
        <item x="34"/>
        <item x="30"/>
        <item x="26"/>
        <item x="227"/>
        <item x="45"/>
        <item x="156"/>
        <item x="239"/>
        <item x="17"/>
        <item x="49"/>
        <item x="138"/>
        <item x="224"/>
        <item x="95"/>
        <item x="61"/>
        <item x="25"/>
        <item x="187"/>
        <item x="257"/>
        <item x="136"/>
        <item x="198"/>
        <item x="92"/>
        <item x="6"/>
        <item x="116"/>
        <item x="194"/>
        <item x="188"/>
        <item x="73"/>
        <item x="20"/>
        <item x="118"/>
        <item x="22"/>
        <item x="36"/>
        <item x="11"/>
        <item x="219"/>
        <item x="96"/>
        <item x="140"/>
        <item x="68"/>
        <item x="109"/>
        <item x="211"/>
        <item x="217"/>
        <item x="55"/>
        <item x="4"/>
        <item x="23"/>
        <item x="235"/>
        <item x="148"/>
        <item x="81"/>
        <item x="193"/>
        <item x="165"/>
        <item x="245"/>
        <item x="83"/>
        <item x="128"/>
        <item x="119"/>
        <item x="80"/>
        <item x="74"/>
        <item x="134"/>
        <item x="133"/>
        <item x="72"/>
        <item x="105"/>
        <item x="191"/>
        <item x="131"/>
        <item x="57"/>
        <item x="152"/>
        <item x="164"/>
        <item x="154"/>
        <item x="220"/>
        <item x="195"/>
        <item x="125"/>
        <item x="168"/>
        <item x="146"/>
        <item x="28"/>
        <item x="241"/>
        <item x="106"/>
        <item x="254"/>
        <item x="142"/>
        <item x="88"/>
        <item x="35"/>
        <item x="27"/>
        <item x="129"/>
        <item x="67"/>
        <item x="250"/>
        <item x="255"/>
        <item x="158"/>
        <item x="38"/>
        <item x="107"/>
        <item x="89"/>
        <item x="155"/>
        <item x="169"/>
        <item x="149"/>
        <item x="177"/>
        <item x="174"/>
        <item x="132"/>
        <item x="167"/>
        <item x="207"/>
        <item x="222"/>
        <item x="77"/>
        <item x="85"/>
        <item x="196"/>
        <item x="258"/>
        <item x="189"/>
        <item x="86"/>
        <item x="137"/>
        <item x="103"/>
        <item x="100"/>
        <item x="104"/>
        <item x="97"/>
        <item x="113"/>
        <item x="184"/>
        <item x="212"/>
        <item x="159"/>
        <item x="185"/>
        <item x="18"/>
        <item x="48"/>
        <item x="50"/>
        <item x="170"/>
        <item x="236"/>
        <item x="178"/>
        <item x="51"/>
        <item x="75"/>
        <item x="176"/>
        <item x="15"/>
        <item x="19"/>
        <item x="225"/>
        <item x="206"/>
        <item x="121"/>
        <item x="124"/>
        <item x="69"/>
        <item x="33"/>
        <item x="243"/>
        <item x="1"/>
        <item x="60"/>
        <item x="29"/>
        <item x="101"/>
        <item x="84"/>
        <item x="32"/>
        <item x="43"/>
        <item x="12"/>
        <item x="181"/>
        <item x="244"/>
        <item x="247"/>
        <item x="94"/>
        <item x="226"/>
        <item x="64"/>
        <item x="249"/>
        <item x="180"/>
        <item x="115"/>
        <item x="82"/>
        <item x="76"/>
        <item x="216"/>
        <item x="126"/>
        <item x="215"/>
        <item x="2"/>
        <item x="40"/>
        <item x="182"/>
        <item x="232"/>
        <item x="123"/>
        <item x="192"/>
        <item x="213"/>
        <item x="209"/>
        <item x="141"/>
        <item x="66"/>
        <item x="52"/>
        <item x="179"/>
        <item x="234"/>
        <item x="190"/>
        <item x="24"/>
        <item x="214"/>
        <item x="8"/>
        <item x="0"/>
        <item x="16"/>
        <item x="201"/>
      </items>
    </pivotField>
    <pivotField compact="0" outline="0" showAll="0" defaultSubtotal="0"/>
    <pivotField compact="0" outline="0" showAll="0" defaultSubtotal="0">
      <items count="5">
        <item x="4"/>
        <item x="0"/>
        <item x="1"/>
        <item x="3"/>
        <item x="2"/>
      </items>
    </pivotField>
    <pivotField compact="0" outline="0" showAll="0" defaultSubtotal="0"/>
    <pivotField compact="0" outline="0" showAll="0" defaultSubtotal="0">
      <items count="6">
        <item x="2"/>
        <item x="4"/>
        <item x="1"/>
        <item x="3"/>
        <item x="5"/>
        <item x="0"/>
      </items>
    </pivotField>
    <pivotField compact="0" outline="0" showAll="0" defaultSubtotal="0"/>
    <pivotField compact="0" numFmtId="165" outline="0" showAll="0" defaultSubtotal="0"/>
    <pivotField compact="0" outline="0"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dataField="1" compact="0" numFmtId="165" outline="0" showAll="0" defaultSubtotal="0"/>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name="Months " axis="axisRow"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1">
    <i>
      <x v="1"/>
    </i>
    <i>
      <x v="2"/>
    </i>
    <i>
      <x v="3"/>
    </i>
    <i>
      <x v="4"/>
    </i>
    <i>
      <x v="5"/>
    </i>
    <i>
      <x v="6"/>
    </i>
    <i>
      <x v="7"/>
    </i>
    <i>
      <x v="8"/>
    </i>
    <i>
      <x v="9"/>
    </i>
    <i>
      <x v="10"/>
    </i>
    <i>
      <x v="11"/>
    </i>
  </rowItems>
  <colItems count="1">
    <i/>
  </colItems>
  <dataFields count="1">
    <dataField name="Total Revenue" fld="8" baseField="0" baseItem="0" numFmtId="166"/>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3C184C-7B52-4923-82DE-4A7952529D97}" autoFormatId="16" applyNumberFormats="0" applyBorderFormats="0" applyFontFormats="0" applyPatternFormats="0" applyAlignmentFormats="0" applyWidthHeightFormats="0">
  <queryTableRefresh nextId="12" unboundColumnsRight="1">
    <queryTableFields count="9">
      <queryTableField id="1" name="Date" tableColumnId="1"/>
      <queryTableField id="2" name="Receipt_ID" tableColumnId="2"/>
      <queryTableField id="3" name="Branch" tableColumnId="3"/>
      <queryTableField id="4" name="Item" tableColumnId="4"/>
      <queryTableField id="5" name="Category" tableColumnId="5"/>
      <queryTableField id="6" name="Quantity" tableColumnId="6"/>
      <queryTableField id="7" name="Unit_Price" tableColumnId="7"/>
      <queryTableField id="8" name="Payment_Method" tableColumnId="8"/>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9A614A4-0DAF-4FD3-A9CC-0A1E4B9BEE97}" sourceName="Months (Date)">
  <pivotTables>
    <pivotTable tabId="4" name="Revenue by month"/>
  </pivotTables>
  <data>
    <tabular pivotCacheId="1943911408">
      <items count="14">
        <i x="1" s="1"/>
        <i x="2" s="1"/>
        <i x="3" s="1"/>
        <i x="4" s="1"/>
        <i x="5" s="1"/>
        <i x="6" s="1"/>
        <i x="7" s="1"/>
        <i x="8" s="1"/>
        <i x="9" s="1"/>
        <i x="10" s="1"/>
        <i x="11" s="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63BE2FB-AB90-443C-869A-470D9934A3D3}" sourceName="Branch">
  <pivotTables>
    <pivotTable tabId="4" name="Revenue_by branch"/>
    <pivotTable tabId="4" name="Revenue by Category"/>
    <pivotTable tabId="4" name="Revenue by month"/>
    <pivotTable tabId="4" name="Revenue by Payment method/branch"/>
    <pivotTable tabId="4" name="Revenue by Item"/>
  </pivotTables>
  <data>
    <tabular pivotCacheId="1943911408">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C003B0-76D3-406F-991D-F7CD741CBB5D}" sourceName="Category">
  <pivotTables>
    <pivotTable tabId="4" name="Revenue by Category"/>
    <pivotTable tabId="4" name="Revenue by month"/>
    <pivotTable tabId="4" name="Revenue by Payment"/>
    <pivotTable tabId="4" name="Revenue by Payment method/branch"/>
    <pivotTable tabId="4" name="Revenue by Item"/>
    <pivotTable tabId="4" name="Revenue_by branch"/>
  </pivotTables>
  <data>
    <tabular pivotCacheId="1943911408">
      <items count="6">
        <i x="2" s="1"/>
        <i x="4" s="1"/>
        <i x="1" s="1"/>
        <i x="3"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DEA669D-5215-4992-99C9-AC3110A16F63}" sourceName="Payment_Method">
  <pivotTables>
    <pivotTable tabId="4" name="Revenue by Payment"/>
    <pivotTable tabId="4" name="Revenue by Category"/>
    <pivotTable tabId="4" name="Revenue by Item"/>
    <pivotTable tabId="4" name="Revenue by month"/>
    <pivotTable tabId="4" name="Revenue by Payment method/branch"/>
    <pivotTable tabId="4" name="Revenue_by branch"/>
  </pivotTables>
  <data>
    <tabular pivotCacheId="194391140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BBBFC5B-7A3C-4C2A-BB11-2CF008E08582}" cache="Slicer_Branch" caption="Branch" columnCount="5" showCaption="0" style="SlicerStyleLight1 2 2" rowHeight="2743200"/>
  <slicer name="Category" xr10:uid="{DEC7E912-5C73-4C3D-A8B1-723EDD5373C9}" cache="Slicer_Category" caption="Category" columnCount="6" showCaption="0" style="SlicerStyleLight1 2 2" rowHeight="2743200"/>
  <slicer name="Payment_Method" xr10:uid="{E7775201-509C-43BF-A55C-6B4320F0F811}" cache="Slicer_Payment_Method" caption="Payment_Method" columnCount="3" showCaption="0" style="SlicerStyleLight1 2 2" rowHeight="2743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 xr10:uid="{4E0197C4-6EAC-48B5-99B9-AFBAE78A1074}" cache="Slicer_Months__Date" caption="Months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91D0E9-446A-4876-A81E-6558274D90C0}" name="Clean_data" displayName="Clean_data" ref="A1:I501" tableType="queryTable" totalsRowShown="0">
  <autoFilter ref="A1:I501" xr:uid="{7B91D0E9-446A-4876-A81E-6558274D90C0}"/>
  <tableColumns count="9">
    <tableColumn id="1" xr3:uid="{210A8FF0-B3E7-4EE6-A917-6C58D1635E2F}" uniqueName="1" name="Date" queryTableFieldId="1" dataDxfId="7"/>
    <tableColumn id="2" xr3:uid="{F754B4CE-213D-422E-9991-6B8C9D5DE7CB}" uniqueName="2" name="Receipt_ID" queryTableFieldId="2" dataDxfId="6"/>
    <tableColumn id="3" xr3:uid="{55637054-A666-4275-A079-980BAA1589EA}" uniqueName="3" name="Branch" queryTableFieldId="3" dataDxfId="5"/>
    <tableColumn id="4" xr3:uid="{470C3723-F2FF-4871-A423-7F79A95EB6CB}" uniqueName="4" name="Item" queryTableFieldId="4" dataDxfId="4"/>
    <tableColumn id="5" xr3:uid="{DEA71C2E-F75A-4883-B410-1C9C2C92EFC5}" uniqueName="5" name="Category" queryTableFieldId="5" dataDxfId="3"/>
    <tableColumn id="6" xr3:uid="{B872EB13-CBFA-4784-B2D5-E27E20D1B5CA}" uniqueName="6" name="Quantity" queryTableFieldId="6"/>
    <tableColumn id="7" xr3:uid="{ACE7A408-8D77-402A-A2F3-4BB074821025}" uniqueName="7" name="Unit_Price" queryTableFieldId="7" dataDxfId="2" dataCellStyle="Currency"/>
    <tableColumn id="8" xr3:uid="{9ED11A8D-BC76-44A5-9D98-46B1641883DF}" uniqueName="8" name="Payment_Method" queryTableFieldId="8" dataDxfId="1"/>
    <tableColumn id="10" xr3:uid="{6F2F1946-E2C1-463F-A4C0-3ECB7AFCD947}" uniqueName="10" name="Revenue" queryTableFieldId="10" dataDxfId="0">
      <calculatedColumnFormula>F2*G2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44546A"/>
      </a:dk2>
      <a:lt2>
        <a:srgbClr val="E7E6E6"/>
      </a:lt2>
      <a:accent1>
        <a:srgbClr val="45ADBB"/>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843BA-BE49-40FF-94AC-53423EDDAEFE}">
  <dimension ref="A1"/>
  <sheetViews>
    <sheetView tabSelected="1" zoomScaleNormal="100" workbookViewId="0">
      <selection activeCell="Y5" sqref="Y5"/>
    </sheetView>
  </sheetViews>
  <sheetFormatPr baseColWidth="10" defaultColWidth="9.1640625" defaultRowHeight="15" x14ac:dyDescent="0.2"/>
  <cols>
    <col min="1" max="16384" width="9.16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3330-0F4A-46C4-B402-220B5DD41E63}">
  <dimension ref="A3:H106"/>
  <sheetViews>
    <sheetView workbookViewId="0">
      <selection activeCell="H19" sqref="H19"/>
    </sheetView>
  </sheetViews>
  <sheetFormatPr baseColWidth="10" defaultColWidth="8.83203125" defaultRowHeight="15" x14ac:dyDescent="0.2"/>
  <cols>
    <col min="1" max="1" width="12.6640625" bestFit="1" customWidth="1"/>
    <col min="2" max="3" width="13.83203125" bestFit="1" customWidth="1"/>
    <col min="4" max="4" width="15.5" bestFit="1" customWidth="1"/>
    <col min="5" max="5" width="13.83203125" bestFit="1" customWidth="1"/>
    <col min="8" max="8" width="13.1640625" bestFit="1" customWidth="1"/>
    <col min="9" max="9" width="12.5" bestFit="1" customWidth="1"/>
  </cols>
  <sheetData>
    <row r="3" spans="1:8" x14ac:dyDescent="0.2">
      <c r="A3" s="4" t="s">
        <v>2</v>
      </c>
      <c r="B3" t="s">
        <v>238</v>
      </c>
    </row>
    <row r="4" spans="1:8" x14ac:dyDescent="0.2">
      <c r="A4" s="5" t="s">
        <v>235</v>
      </c>
      <c r="B4" s="7">
        <v>176604.05000000013</v>
      </c>
      <c r="D4" t="str">
        <f>A4</f>
        <v>EASTLANDS</v>
      </c>
      <c r="E4" s="7">
        <f>B4</f>
        <v>176604.05000000013</v>
      </c>
    </row>
    <row r="5" spans="1:8" x14ac:dyDescent="0.2">
      <c r="A5" s="5" t="s">
        <v>231</v>
      </c>
      <c r="B5" s="7">
        <v>175508.50999999986</v>
      </c>
      <c r="D5" t="str">
        <f t="shared" ref="D5:E8" si="0">A5</f>
        <v>NAIROBI CBD</v>
      </c>
      <c r="E5" s="7">
        <f t="shared" si="0"/>
        <v>175508.50999999986</v>
      </c>
      <c r="G5" t="s">
        <v>252</v>
      </c>
      <c r="H5" s="7">
        <f>SUM(B4:B8)</f>
        <v>849745.30999999982</v>
      </c>
    </row>
    <row r="6" spans="1:8" x14ac:dyDescent="0.2">
      <c r="A6" s="5" t="s">
        <v>232</v>
      </c>
      <c r="B6" s="7">
        <v>151945.72999999995</v>
      </c>
      <c r="D6" t="str">
        <f t="shared" si="0"/>
        <v>NGONG ROAD</v>
      </c>
      <c r="E6" s="7">
        <f t="shared" si="0"/>
        <v>151945.72999999995</v>
      </c>
    </row>
    <row r="7" spans="1:8" x14ac:dyDescent="0.2">
      <c r="A7" s="5" t="s">
        <v>234</v>
      </c>
      <c r="B7" s="7">
        <v>166520.34</v>
      </c>
      <c r="D7" t="str">
        <f t="shared" si="0"/>
        <v>THIKA ROAD</v>
      </c>
      <c r="E7" s="7">
        <f t="shared" si="0"/>
        <v>166520.34</v>
      </c>
    </row>
    <row r="8" spans="1:8" x14ac:dyDescent="0.2">
      <c r="A8" s="5" t="s">
        <v>233</v>
      </c>
      <c r="B8" s="7">
        <v>179166.67999999996</v>
      </c>
      <c r="D8" t="str">
        <f t="shared" si="0"/>
        <v>WESTLANDS</v>
      </c>
      <c r="E8" s="7">
        <f t="shared" si="0"/>
        <v>179166.67999999996</v>
      </c>
    </row>
    <row r="11" spans="1:8" x14ac:dyDescent="0.2">
      <c r="A11" s="4" t="s">
        <v>4</v>
      </c>
      <c r="B11" t="s">
        <v>238</v>
      </c>
    </row>
    <row r="12" spans="1:8" x14ac:dyDescent="0.2">
      <c r="A12" s="5" t="s">
        <v>19</v>
      </c>
      <c r="B12" s="7">
        <v>78728.970000000016</v>
      </c>
      <c r="D12" t="str">
        <f>A12</f>
        <v>Bakery</v>
      </c>
      <c r="E12" s="7">
        <f>B12</f>
        <v>78728.970000000016</v>
      </c>
      <c r="G12" t="s">
        <v>253</v>
      </c>
      <c r="H12" s="7">
        <f>MAX(B12:B17)</f>
        <v>254618.83999999985</v>
      </c>
    </row>
    <row r="13" spans="1:8" x14ac:dyDescent="0.2">
      <c r="A13" s="5" t="s">
        <v>35</v>
      </c>
      <c r="B13" s="7">
        <v>155365.6</v>
      </c>
      <c r="D13" t="str">
        <f t="shared" ref="D13:E17" si="1">A13</f>
        <v>Dairy</v>
      </c>
      <c r="E13" s="7">
        <f t="shared" si="1"/>
        <v>155365.6</v>
      </c>
      <c r="H13" t="str">
        <f>_xlfn.XLOOKUP(H12,B12:B17,A12:A17,0,0)</f>
        <v>Household</v>
      </c>
    </row>
    <row r="14" spans="1:8" x14ac:dyDescent="0.2">
      <c r="A14" s="5" t="s">
        <v>16</v>
      </c>
      <c r="B14" s="7">
        <v>81580.61</v>
      </c>
      <c r="D14" t="str">
        <f t="shared" si="1"/>
        <v>Grocery</v>
      </c>
      <c r="E14" s="7">
        <f t="shared" si="1"/>
        <v>81580.61</v>
      </c>
    </row>
    <row r="15" spans="1:8" x14ac:dyDescent="0.2">
      <c r="A15" s="5" t="s">
        <v>38</v>
      </c>
      <c r="B15" s="7">
        <v>254618.83999999985</v>
      </c>
      <c r="D15" t="str">
        <f t="shared" si="1"/>
        <v>Household</v>
      </c>
      <c r="E15" s="7">
        <f t="shared" si="1"/>
        <v>254618.83999999985</v>
      </c>
    </row>
    <row r="16" spans="1:8" x14ac:dyDescent="0.2">
      <c r="A16" s="5" t="s">
        <v>50</v>
      </c>
      <c r="B16" s="7">
        <v>73813.329999999987</v>
      </c>
      <c r="D16" t="str">
        <f t="shared" si="1"/>
        <v>Personal Care</v>
      </c>
      <c r="E16" s="7">
        <f t="shared" si="1"/>
        <v>73813.329999999987</v>
      </c>
    </row>
    <row r="17" spans="1:5" x14ac:dyDescent="0.2">
      <c r="A17" s="5" t="s">
        <v>11</v>
      </c>
      <c r="B17" s="7">
        <v>205637.95999999985</v>
      </c>
      <c r="D17" t="str">
        <f t="shared" si="1"/>
        <v>Produce</v>
      </c>
      <c r="E17" s="7">
        <f t="shared" si="1"/>
        <v>205637.95999999985</v>
      </c>
    </row>
    <row r="20" spans="1:5" x14ac:dyDescent="0.2">
      <c r="A20" s="4" t="s">
        <v>3</v>
      </c>
      <c r="B20" t="s">
        <v>238</v>
      </c>
    </row>
    <row r="21" spans="1:5" x14ac:dyDescent="0.2">
      <c r="A21" t="s">
        <v>52</v>
      </c>
      <c r="B21" s="7">
        <v>155365.6</v>
      </c>
      <c r="D21" t="str">
        <f t="shared" ref="D21:D33" si="2">A21</f>
        <v>Milk</v>
      </c>
      <c r="E21" s="7">
        <f t="shared" ref="E21:E33" si="3">B21</f>
        <v>155365.6</v>
      </c>
    </row>
    <row r="22" spans="1:5" x14ac:dyDescent="0.2">
      <c r="A22" t="s">
        <v>40</v>
      </c>
      <c r="B22" s="7">
        <v>116690.80999999997</v>
      </c>
      <c r="D22" t="str">
        <f t="shared" si="2"/>
        <v>Sugar</v>
      </c>
      <c r="E22" s="7">
        <f t="shared" si="3"/>
        <v>116690.80999999997</v>
      </c>
    </row>
    <row r="23" spans="1:5" x14ac:dyDescent="0.2">
      <c r="A23" t="s">
        <v>71</v>
      </c>
      <c r="B23" s="7">
        <v>84557.079999999973</v>
      </c>
      <c r="D23" t="str">
        <f t="shared" si="2"/>
        <v>Salt</v>
      </c>
      <c r="E23" s="7">
        <f t="shared" si="3"/>
        <v>84557.079999999973</v>
      </c>
    </row>
    <row r="24" spans="1:5" x14ac:dyDescent="0.2">
      <c r="A24" t="s">
        <v>59</v>
      </c>
      <c r="B24" s="7">
        <v>82662.290000000008</v>
      </c>
      <c r="D24" t="str">
        <f t="shared" si="2"/>
        <v>Rice</v>
      </c>
      <c r="E24" s="7">
        <f t="shared" si="3"/>
        <v>82662.290000000008</v>
      </c>
    </row>
    <row r="25" spans="1:5" x14ac:dyDescent="0.2">
      <c r="A25" t="s">
        <v>25</v>
      </c>
      <c r="B25" s="7">
        <v>81580.61</v>
      </c>
      <c r="D25" t="str">
        <f t="shared" si="2"/>
        <v>Cooking Oil</v>
      </c>
      <c r="E25" s="7">
        <f t="shared" si="3"/>
        <v>81580.61</v>
      </c>
    </row>
    <row r="26" spans="1:5" x14ac:dyDescent="0.2">
      <c r="A26" t="s">
        <v>57</v>
      </c>
      <c r="B26" s="7">
        <v>78728.970000000016</v>
      </c>
      <c r="D26" t="str">
        <f t="shared" si="2"/>
        <v>Bread</v>
      </c>
      <c r="E26" s="7">
        <f t="shared" si="3"/>
        <v>78728.970000000016</v>
      </c>
    </row>
    <row r="27" spans="1:5" x14ac:dyDescent="0.2">
      <c r="A27" t="s">
        <v>62</v>
      </c>
      <c r="B27" s="7">
        <v>53577.87</v>
      </c>
      <c r="D27" t="str">
        <f t="shared" si="2"/>
        <v>Eggs</v>
      </c>
      <c r="E27" s="7">
        <f t="shared" si="3"/>
        <v>53577.87</v>
      </c>
    </row>
    <row r="28" spans="1:5" x14ac:dyDescent="0.2">
      <c r="A28" t="s">
        <v>49</v>
      </c>
      <c r="B28" s="7">
        <v>36964.910000000003</v>
      </c>
      <c r="D28" t="str">
        <f t="shared" si="2"/>
        <v>Shampoo</v>
      </c>
      <c r="E28" s="7">
        <f t="shared" si="3"/>
        <v>36964.910000000003</v>
      </c>
    </row>
    <row r="29" spans="1:5" x14ac:dyDescent="0.2">
      <c r="A29" t="s">
        <v>78</v>
      </c>
      <c r="B29" s="7">
        <v>36848.42</v>
      </c>
      <c r="D29" t="str">
        <f t="shared" si="2"/>
        <v>Toothpaste</v>
      </c>
      <c r="E29" s="7">
        <f t="shared" si="3"/>
        <v>36848.42</v>
      </c>
    </row>
    <row r="30" spans="1:5" x14ac:dyDescent="0.2">
      <c r="A30" t="s">
        <v>23</v>
      </c>
      <c r="B30" s="7">
        <v>35303.53</v>
      </c>
      <c r="D30" t="str">
        <f t="shared" si="2"/>
        <v>Tomatoes</v>
      </c>
      <c r="E30" s="7">
        <f t="shared" si="3"/>
        <v>35303.53</v>
      </c>
    </row>
    <row r="31" spans="1:5" x14ac:dyDescent="0.2">
      <c r="A31" t="s">
        <v>10</v>
      </c>
      <c r="B31" s="7">
        <v>34094.270000000011</v>
      </c>
      <c r="D31" t="str">
        <f t="shared" si="2"/>
        <v>Onions</v>
      </c>
      <c r="E31" s="7">
        <f t="shared" si="3"/>
        <v>34094.270000000011</v>
      </c>
    </row>
    <row r="32" spans="1:5" x14ac:dyDescent="0.2">
      <c r="A32" t="s">
        <v>251</v>
      </c>
      <c r="B32" s="7">
        <v>29198.609999999997</v>
      </c>
      <c r="D32" t="str">
        <f t="shared" si="2"/>
        <v>Tissue</v>
      </c>
      <c r="E32" s="7">
        <f t="shared" si="3"/>
        <v>29198.609999999997</v>
      </c>
    </row>
    <row r="33" spans="1:5" x14ac:dyDescent="0.2">
      <c r="A33" t="s">
        <v>28</v>
      </c>
      <c r="B33" s="7">
        <v>24172.340000000004</v>
      </c>
      <c r="D33" t="str">
        <f t="shared" si="2"/>
        <v>Laundry Soap</v>
      </c>
      <c r="E33" s="7">
        <f t="shared" si="3"/>
        <v>24172.340000000004</v>
      </c>
    </row>
    <row r="38" spans="1:5" x14ac:dyDescent="0.2">
      <c r="A38" s="4" t="s">
        <v>2</v>
      </c>
      <c r="B38" s="4" t="s">
        <v>7</v>
      </c>
      <c r="C38" t="s">
        <v>238</v>
      </c>
    </row>
    <row r="39" spans="1:5" x14ac:dyDescent="0.2">
      <c r="A39" t="s">
        <v>235</v>
      </c>
      <c r="B39" t="s">
        <v>20</v>
      </c>
      <c r="C39" s="7">
        <v>76356.329999999987</v>
      </c>
    </row>
    <row r="40" spans="1:5" x14ac:dyDescent="0.2">
      <c r="B40" t="s">
        <v>12</v>
      </c>
      <c r="C40" s="7">
        <v>52337.450000000004</v>
      </c>
    </row>
    <row r="41" spans="1:5" x14ac:dyDescent="0.2">
      <c r="B41" t="s">
        <v>43</v>
      </c>
      <c r="C41" s="7">
        <v>47910.27</v>
      </c>
    </row>
    <row r="42" spans="1:5" x14ac:dyDescent="0.2">
      <c r="A42" t="s">
        <v>231</v>
      </c>
      <c r="B42" t="s">
        <v>20</v>
      </c>
      <c r="C42" s="7">
        <v>69261.880000000019</v>
      </c>
    </row>
    <row r="43" spans="1:5" x14ac:dyDescent="0.2">
      <c r="B43" t="s">
        <v>43</v>
      </c>
      <c r="C43" s="7">
        <v>56027.259999999987</v>
      </c>
    </row>
    <row r="44" spans="1:5" x14ac:dyDescent="0.2">
      <c r="B44" t="s">
        <v>12</v>
      </c>
      <c r="C44" s="7">
        <v>50219.369999999995</v>
      </c>
    </row>
    <row r="45" spans="1:5" x14ac:dyDescent="0.2">
      <c r="A45" t="s">
        <v>232</v>
      </c>
      <c r="B45" t="s">
        <v>12</v>
      </c>
      <c r="C45" s="7">
        <v>61514.67</v>
      </c>
    </row>
    <row r="46" spans="1:5" x14ac:dyDescent="0.2">
      <c r="B46" t="s">
        <v>20</v>
      </c>
      <c r="C46" s="7">
        <v>49811.770000000004</v>
      </c>
    </row>
    <row r="47" spans="1:5" x14ac:dyDescent="0.2">
      <c r="B47" t="s">
        <v>43</v>
      </c>
      <c r="C47" s="7">
        <v>40619.29</v>
      </c>
    </row>
    <row r="48" spans="1:5" x14ac:dyDescent="0.2">
      <c r="A48" t="s">
        <v>234</v>
      </c>
      <c r="B48" t="s">
        <v>12</v>
      </c>
      <c r="C48" s="7">
        <v>63298.42</v>
      </c>
    </row>
    <row r="49" spans="1:3" x14ac:dyDescent="0.2">
      <c r="B49" t="s">
        <v>43</v>
      </c>
      <c r="C49" s="7">
        <v>51920.799999999996</v>
      </c>
    </row>
    <row r="50" spans="1:3" x14ac:dyDescent="0.2">
      <c r="B50" t="s">
        <v>20</v>
      </c>
      <c r="C50" s="7">
        <v>51301.119999999995</v>
      </c>
    </row>
    <row r="51" spans="1:3" x14ac:dyDescent="0.2">
      <c r="A51" t="s">
        <v>233</v>
      </c>
      <c r="B51" t="s">
        <v>43</v>
      </c>
      <c r="C51" s="7">
        <v>70319.23000000001</v>
      </c>
    </row>
    <row r="52" spans="1:3" x14ac:dyDescent="0.2">
      <c r="B52" t="s">
        <v>12</v>
      </c>
      <c r="C52" s="7">
        <v>57491.7</v>
      </c>
    </row>
    <row r="53" spans="1:3" x14ac:dyDescent="0.2">
      <c r="B53" t="s">
        <v>20</v>
      </c>
      <c r="C53" s="7">
        <v>51355.75</v>
      </c>
    </row>
    <row r="56" spans="1:3" x14ac:dyDescent="0.2">
      <c r="A56" s="4" t="s">
        <v>2</v>
      </c>
      <c r="B56" s="4" t="s">
        <v>4</v>
      </c>
      <c r="C56" t="s">
        <v>237</v>
      </c>
    </row>
    <row r="57" spans="1:3" x14ac:dyDescent="0.2">
      <c r="A57" t="s">
        <v>235</v>
      </c>
      <c r="B57" t="s">
        <v>19</v>
      </c>
      <c r="C57" s="7">
        <v>13254.29</v>
      </c>
    </row>
    <row r="58" spans="1:3" x14ac:dyDescent="0.2">
      <c r="B58" t="s">
        <v>35</v>
      </c>
      <c r="C58" s="7">
        <v>45083.319999999992</v>
      </c>
    </row>
    <row r="59" spans="1:3" x14ac:dyDescent="0.2">
      <c r="B59" t="s">
        <v>16</v>
      </c>
      <c r="C59" s="7">
        <v>12292.460000000001</v>
      </c>
    </row>
    <row r="60" spans="1:3" x14ac:dyDescent="0.2">
      <c r="B60" t="s">
        <v>38</v>
      </c>
      <c r="C60" s="7">
        <v>56857.460000000006</v>
      </c>
    </row>
    <row r="61" spans="1:3" x14ac:dyDescent="0.2">
      <c r="B61" t="s">
        <v>50</v>
      </c>
      <c r="C61" s="7">
        <v>12063.23</v>
      </c>
    </row>
    <row r="62" spans="1:3" x14ac:dyDescent="0.2">
      <c r="B62" t="s">
        <v>11</v>
      </c>
      <c r="C62" s="7">
        <v>37053.29</v>
      </c>
    </row>
    <row r="63" spans="1:3" x14ac:dyDescent="0.2">
      <c r="A63" t="s">
        <v>231</v>
      </c>
      <c r="B63" t="s">
        <v>19</v>
      </c>
      <c r="C63" s="7">
        <v>17358.190000000002</v>
      </c>
    </row>
    <row r="64" spans="1:3" x14ac:dyDescent="0.2">
      <c r="B64" t="s">
        <v>35</v>
      </c>
      <c r="C64" s="7">
        <v>13587.3</v>
      </c>
    </row>
    <row r="65" spans="1:3" x14ac:dyDescent="0.2">
      <c r="B65" t="s">
        <v>16</v>
      </c>
      <c r="C65" s="7">
        <v>14540.79</v>
      </c>
    </row>
    <row r="66" spans="1:3" x14ac:dyDescent="0.2">
      <c r="B66" t="s">
        <v>38</v>
      </c>
      <c r="C66" s="7">
        <v>69644.240000000005</v>
      </c>
    </row>
    <row r="67" spans="1:3" x14ac:dyDescent="0.2">
      <c r="B67" t="s">
        <v>50</v>
      </c>
      <c r="C67" s="7">
        <v>13022.490000000002</v>
      </c>
    </row>
    <row r="68" spans="1:3" x14ac:dyDescent="0.2">
      <c r="B68" t="s">
        <v>11</v>
      </c>
      <c r="C68" s="7">
        <v>47355.5</v>
      </c>
    </row>
    <row r="69" spans="1:3" x14ac:dyDescent="0.2">
      <c r="A69" t="s">
        <v>232</v>
      </c>
      <c r="B69" t="s">
        <v>19</v>
      </c>
      <c r="C69" s="7">
        <v>14595.08</v>
      </c>
    </row>
    <row r="70" spans="1:3" x14ac:dyDescent="0.2">
      <c r="B70" t="s">
        <v>35</v>
      </c>
      <c r="C70" s="7">
        <v>25668.420000000002</v>
      </c>
    </row>
    <row r="71" spans="1:3" x14ac:dyDescent="0.2">
      <c r="B71" t="s">
        <v>16</v>
      </c>
      <c r="C71" s="7">
        <v>17269.78</v>
      </c>
    </row>
    <row r="72" spans="1:3" x14ac:dyDescent="0.2">
      <c r="B72" t="s">
        <v>38</v>
      </c>
      <c r="C72" s="7">
        <v>40486.29</v>
      </c>
    </row>
    <row r="73" spans="1:3" x14ac:dyDescent="0.2">
      <c r="B73" t="s">
        <v>50</v>
      </c>
      <c r="C73" s="7">
        <v>18899.060000000001</v>
      </c>
    </row>
    <row r="74" spans="1:3" x14ac:dyDescent="0.2">
      <c r="B74" t="s">
        <v>11</v>
      </c>
      <c r="C74" s="7">
        <v>35027.100000000006</v>
      </c>
    </row>
    <row r="75" spans="1:3" x14ac:dyDescent="0.2">
      <c r="A75" t="s">
        <v>234</v>
      </c>
      <c r="B75" t="s">
        <v>19</v>
      </c>
      <c r="C75" s="7">
        <v>20994.57</v>
      </c>
    </row>
    <row r="76" spans="1:3" x14ac:dyDescent="0.2">
      <c r="B76" t="s">
        <v>35</v>
      </c>
      <c r="C76" s="7">
        <v>27383.930000000004</v>
      </c>
    </row>
    <row r="77" spans="1:3" x14ac:dyDescent="0.2">
      <c r="B77" t="s">
        <v>16</v>
      </c>
      <c r="C77" s="7">
        <v>21228.33</v>
      </c>
    </row>
    <row r="78" spans="1:3" x14ac:dyDescent="0.2">
      <c r="B78" t="s">
        <v>38</v>
      </c>
      <c r="C78" s="7">
        <v>35548.58</v>
      </c>
    </row>
    <row r="79" spans="1:3" x14ac:dyDescent="0.2">
      <c r="B79" t="s">
        <v>50</v>
      </c>
      <c r="C79" s="7">
        <v>18972.55</v>
      </c>
    </row>
    <row r="80" spans="1:3" x14ac:dyDescent="0.2">
      <c r="B80" t="s">
        <v>11</v>
      </c>
      <c r="C80" s="7">
        <v>42392.380000000005</v>
      </c>
    </row>
    <row r="81" spans="1:8" x14ac:dyDescent="0.2">
      <c r="A81" t="s">
        <v>233</v>
      </c>
      <c r="B81" t="s">
        <v>19</v>
      </c>
      <c r="C81" s="7">
        <v>12526.839999999998</v>
      </c>
    </row>
    <row r="82" spans="1:8" x14ac:dyDescent="0.2">
      <c r="B82" t="s">
        <v>35</v>
      </c>
      <c r="C82" s="7">
        <v>43642.630000000005</v>
      </c>
    </row>
    <row r="83" spans="1:8" x14ac:dyDescent="0.2">
      <c r="B83" t="s">
        <v>16</v>
      </c>
      <c r="C83" s="7">
        <v>16249.25</v>
      </c>
    </row>
    <row r="84" spans="1:8" x14ac:dyDescent="0.2">
      <c r="B84" t="s">
        <v>38</v>
      </c>
      <c r="C84" s="7">
        <v>52082.270000000011</v>
      </c>
    </row>
    <row r="85" spans="1:8" x14ac:dyDescent="0.2">
      <c r="B85" t="s">
        <v>50</v>
      </c>
      <c r="C85" s="7">
        <v>10856</v>
      </c>
    </row>
    <row r="86" spans="1:8" x14ac:dyDescent="0.2">
      <c r="B86" t="s">
        <v>11</v>
      </c>
      <c r="C86" s="7">
        <v>43809.69</v>
      </c>
    </row>
    <row r="89" spans="1:8" x14ac:dyDescent="0.2">
      <c r="A89" s="4" t="s">
        <v>250</v>
      </c>
      <c r="B89" t="s">
        <v>238</v>
      </c>
    </row>
    <row r="90" spans="1:8" x14ac:dyDescent="0.2">
      <c r="A90" t="s">
        <v>239</v>
      </c>
      <c r="B90" s="7">
        <v>70185.440000000002</v>
      </c>
      <c r="D90" t="str">
        <f>A90</f>
        <v>Jan</v>
      </c>
      <c r="E90" s="7">
        <f>B90</f>
        <v>70185.440000000002</v>
      </c>
    </row>
    <row r="91" spans="1:8" x14ac:dyDescent="0.2">
      <c r="A91" t="s">
        <v>240</v>
      </c>
      <c r="B91" s="7">
        <v>79951.069999999992</v>
      </c>
      <c r="D91" t="str">
        <f t="shared" ref="D91:E100" si="4">A91</f>
        <v>Feb</v>
      </c>
      <c r="E91" s="7">
        <f t="shared" si="4"/>
        <v>79951.069999999992</v>
      </c>
      <c r="G91" t="s">
        <v>253</v>
      </c>
      <c r="H91" s="7">
        <f>MAX(B90:B100)</f>
        <v>110909.28999999996</v>
      </c>
    </row>
    <row r="92" spans="1:8" x14ac:dyDescent="0.2">
      <c r="A92" t="s">
        <v>241</v>
      </c>
      <c r="B92" s="7">
        <v>93550.78</v>
      </c>
      <c r="D92" t="str">
        <f t="shared" si="4"/>
        <v>Mar</v>
      </c>
      <c r="E92" s="7">
        <f t="shared" si="4"/>
        <v>93550.78</v>
      </c>
      <c r="H92" t="str">
        <f>_xlfn.XLOOKUP(H91,B90:B100,A90:A100,0,0)</f>
        <v>Aug</v>
      </c>
    </row>
    <row r="93" spans="1:8" x14ac:dyDescent="0.2">
      <c r="A93" t="s">
        <v>242</v>
      </c>
      <c r="B93" s="7">
        <v>67106.750000000015</v>
      </c>
      <c r="D93" t="str">
        <f t="shared" si="4"/>
        <v>Apr</v>
      </c>
      <c r="E93" s="7">
        <f t="shared" si="4"/>
        <v>67106.750000000015</v>
      </c>
    </row>
    <row r="94" spans="1:8" x14ac:dyDescent="0.2">
      <c r="A94" t="s">
        <v>243</v>
      </c>
      <c r="B94" s="7">
        <v>56554.189999999995</v>
      </c>
      <c r="D94" t="str">
        <f t="shared" si="4"/>
        <v>May</v>
      </c>
      <c r="E94" s="7">
        <f t="shared" si="4"/>
        <v>56554.189999999995</v>
      </c>
    </row>
    <row r="95" spans="1:8" x14ac:dyDescent="0.2">
      <c r="A95" t="s">
        <v>244</v>
      </c>
      <c r="B95" s="7">
        <v>68937.990000000005</v>
      </c>
      <c r="D95" t="str">
        <f t="shared" si="4"/>
        <v>Jun</v>
      </c>
      <c r="E95" s="7">
        <f t="shared" si="4"/>
        <v>68937.990000000005</v>
      </c>
    </row>
    <row r="96" spans="1:8" x14ac:dyDescent="0.2">
      <c r="A96" t="s">
        <v>245</v>
      </c>
      <c r="B96" s="7">
        <v>71978.02</v>
      </c>
      <c r="D96" t="str">
        <f t="shared" si="4"/>
        <v>Jul</v>
      </c>
      <c r="E96" s="7">
        <f t="shared" si="4"/>
        <v>71978.02</v>
      </c>
    </row>
    <row r="97" spans="1:5" x14ac:dyDescent="0.2">
      <c r="A97" t="s">
        <v>246</v>
      </c>
      <c r="B97" s="7">
        <v>110909.28999999996</v>
      </c>
      <c r="D97" t="str">
        <f t="shared" si="4"/>
        <v>Aug</v>
      </c>
      <c r="E97" s="7">
        <f t="shared" si="4"/>
        <v>110909.28999999996</v>
      </c>
    </row>
    <row r="98" spans="1:5" x14ac:dyDescent="0.2">
      <c r="A98" t="s">
        <v>247</v>
      </c>
      <c r="B98" s="7">
        <v>72711.16</v>
      </c>
      <c r="D98" t="str">
        <f t="shared" si="4"/>
        <v>Sept</v>
      </c>
      <c r="E98" s="7">
        <f t="shared" si="4"/>
        <v>72711.16</v>
      </c>
    </row>
    <row r="99" spans="1:5" x14ac:dyDescent="0.2">
      <c r="A99" t="s">
        <v>248</v>
      </c>
      <c r="B99" s="7">
        <v>87030.310000000027</v>
      </c>
      <c r="D99" t="str">
        <f t="shared" si="4"/>
        <v>Oct</v>
      </c>
      <c r="E99" s="7">
        <f t="shared" si="4"/>
        <v>87030.310000000027</v>
      </c>
    </row>
    <row r="100" spans="1:5" x14ac:dyDescent="0.2">
      <c r="A100" t="s">
        <v>249</v>
      </c>
      <c r="B100" s="7">
        <v>70830.309999999983</v>
      </c>
      <c r="D100" t="str">
        <f t="shared" si="4"/>
        <v>Nov</v>
      </c>
      <c r="E100" s="7">
        <f t="shared" si="4"/>
        <v>70830.309999999983</v>
      </c>
    </row>
    <row r="103" spans="1:5" x14ac:dyDescent="0.2">
      <c r="A103" s="4" t="s">
        <v>7</v>
      </c>
      <c r="B103" t="s">
        <v>238</v>
      </c>
    </row>
    <row r="104" spans="1:5" x14ac:dyDescent="0.2">
      <c r="A104" t="s">
        <v>20</v>
      </c>
      <c r="B104" s="7">
        <v>298086.84999999986</v>
      </c>
      <c r="D104" t="str">
        <f>A104</f>
        <v>Card</v>
      </c>
      <c r="E104" s="7">
        <f>B104</f>
        <v>298086.84999999986</v>
      </c>
    </row>
    <row r="105" spans="1:5" x14ac:dyDescent="0.2">
      <c r="A105" t="s">
        <v>12</v>
      </c>
      <c r="B105" s="7">
        <v>284861.61</v>
      </c>
      <c r="D105" t="str">
        <f>A105</f>
        <v>Cash</v>
      </c>
      <c r="E105" s="7">
        <f t="shared" ref="E105:E106" si="5">B105</f>
        <v>284861.61</v>
      </c>
    </row>
    <row r="106" spans="1:5" x14ac:dyDescent="0.2">
      <c r="A106" t="s">
        <v>43</v>
      </c>
      <c r="B106" s="7">
        <v>266796.84999999986</v>
      </c>
      <c r="D106" t="str">
        <f>A106</f>
        <v>Mobile</v>
      </c>
      <c r="E106" s="7">
        <f t="shared" si="5"/>
        <v>266796.84999999986</v>
      </c>
    </row>
  </sheetData>
  <sortState xmlns:xlrd2="http://schemas.microsoft.com/office/spreadsheetml/2017/richdata2" ref="D21:E33">
    <sortCondition descending="1" ref="D21:D33"/>
  </sortState>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D3ECC-7179-455D-B3EE-7BB6ED4543DB}">
  <dimension ref="A1:I501"/>
  <sheetViews>
    <sheetView workbookViewId="0">
      <selection activeCell="D20" sqref="D20"/>
    </sheetView>
  </sheetViews>
  <sheetFormatPr baseColWidth="10" defaultColWidth="8.83203125" defaultRowHeight="15" x14ac:dyDescent="0.2"/>
  <cols>
    <col min="1" max="1" width="12" customWidth="1"/>
    <col min="2" max="2" width="12.83203125" bestFit="1" customWidth="1"/>
    <col min="3" max="3" width="13.5" bestFit="1" customWidth="1"/>
    <col min="4" max="4" width="12.6640625" bestFit="1" customWidth="1"/>
    <col min="5" max="5" width="11" customWidth="1"/>
    <col min="6" max="6" width="12.5" bestFit="1" customWidth="1"/>
    <col min="7" max="7" width="19.5" style="3" bestFit="1" customWidth="1"/>
    <col min="8" max="8" width="19.5" bestFit="1" customWidth="1"/>
    <col min="9" max="9" width="12.6640625" customWidth="1"/>
  </cols>
  <sheetData>
    <row r="1" spans="1:9" x14ac:dyDescent="0.2">
      <c r="A1" t="s">
        <v>0</v>
      </c>
      <c r="B1" t="s">
        <v>1</v>
      </c>
      <c r="C1" t="s">
        <v>2</v>
      </c>
      <c r="D1" t="s">
        <v>3</v>
      </c>
      <c r="E1" t="s">
        <v>4</v>
      </c>
      <c r="F1" t="s">
        <v>5</v>
      </c>
      <c r="G1" s="3" t="s">
        <v>6</v>
      </c>
      <c r="H1" t="s">
        <v>7</v>
      </c>
      <c r="I1" t="s">
        <v>236</v>
      </c>
    </row>
    <row r="2" spans="1:9" x14ac:dyDescent="0.2">
      <c r="A2" s="1">
        <v>45619</v>
      </c>
      <c r="B2" t="s">
        <v>8</v>
      </c>
      <c r="C2" t="s">
        <v>231</v>
      </c>
      <c r="D2" t="s">
        <v>10</v>
      </c>
      <c r="E2" t="str" cm="1">
        <f t="array" ref="E2">_xlfn.XLOOKUP(D2,_xlfn.ANCHORARRAY('Item_ Master'!$A$2),'Item_ Master'!$B$2:$B$14,0,0)</f>
        <v>Produce</v>
      </c>
      <c r="F2">
        <v>5</v>
      </c>
      <c r="G2" s="3">
        <v>184.69</v>
      </c>
      <c r="H2" t="s">
        <v>12</v>
      </c>
      <c r="I2" s="2">
        <f>F2*$G$2</f>
        <v>923.45</v>
      </c>
    </row>
    <row r="3" spans="1:9" x14ac:dyDescent="0.2">
      <c r="A3" s="1">
        <v>45571</v>
      </c>
      <c r="B3" t="s">
        <v>13</v>
      </c>
      <c r="C3" t="s">
        <v>232</v>
      </c>
      <c r="D3" t="s">
        <v>25</v>
      </c>
      <c r="E3" t="str" cm="1">
        <f t="array" ref="E3">_xlfn.XLOOKUP(D3,_xlfn.ANCHORARRAY('Item_ Master'!$A$2),'Item_ Master'!$B$2:$B$14,0,0)</f>
        <v>Grocery</v>
      </c>
      <c r="F3">
        <v>1</v>
      </c>
      <c r="G3" s="3">
        <v>66.39</v>
      </c>
      <c r="H3" t="s">
        <v>12</v>
      </c>
      <c r="I3" s="2">
        <f t="shared" ref="I3:I66" si="0">F3*G3</f>
        <v>66.39</v>
      </c>
    </row>
    <row r="4" spans="1:9" x14ac:dyDescent="0.2">
      <c r="A4" s="1">
        <v>45600</v>
      </c>
      <c r="B4" t="s">
        <v>17</v>
      </c>
      <c r="C4" t="s">
        <v>232</v>
      </c>
      <c r="D4" t="s">
        <v>57</v>
      </c>
      <c r="E4" t="str" cm="1">
        <f t="array" ref="E4">_xlfn.XLOOKUP(D4,_xlfn.ANCHORARRAY('Item_ Master'!$A$2),'Item_ Master'!$B$2:$B$14,0,0)</f>
        <v>Bakery</v>
      </c>
      <c r="F4">
        <v>9</v>
      </c>
      <c r="G4" s="3">
        <v>280.74</v>
      </c>
      <c r="H4" t="s">
        <v>20</v>
      </c>
      <c r="I4" s="2">
        <f t="shared" si="0"/>
        <v>2526.66</v>
      </c>
    </row>
    <row r="5" spans="1:9" x14ac:dyDescent="0.2">
      <c r="A5" s="1">
        <v>45295</v>
      </c>
      <c r="B5" t="s">
        <v>21</v>
      </c>
      <c r="C5" t="s">
        <v>233</v>
      </c>
      <c r="D5" t="s">
        <v>23</v>
      </c>
      <c r="E5" t="str" cm="1">
        <f t="array" ref="E5">_xlfn.XLOOKUP(D5,_xlfn.ANCHORARRAY('Item_ Master'!$A$2),'Item_ Master'!$B$2:$B$14,0,0)</f>
        <v>Produce</v>
      </c>
      <c r="F5">
        <v>7</v>
      </c>
      <c r="G5" s="3">
        <v>237.14</v>
      </c>
      <c r="H5" t="s">
        <v>12</v>
      </c>
      <c r="I5" s="2">
        <f t="shared" si="0"/>
        <v>1659.98</v>
      </c>
    </row>
    <row r="6" spans="1:9" x14ac:dyDescent="0.2">
      <c r="A6" s="1">
        <v>45464</v>
      </c>
      <c r="B6" t="s">
        <v>24</v>
      </c>
      <c r="C6" t="s">
        <v>231</v>
      </c>
      <c r="D6" t="s">
        <v>25</v>
      </c>
      <c r="E6" t="str" cm="1">
        <f t="array" ref="E6">_xlfn.XLOOKUP(D6,_xlfn.ANCHORARRAY('Item_ Master'!$A$2),'Item_ Master'!$B$2:$B$14,0,0)</f>
        <v>Grocery</v>
      </c>
      <c r="F6">
        <v>2</v>
      </c>
      <c r="G6" s="3">
        <v>247.44</v>
      </c>
      <c r="H6" t="s">
        <v>20</v>
      </c>
      <c r="I6" s="2">
        <f t="shared" si="0"/>
        <v>494.88</v>
      </c>
    </row>
    <row r="7" spans="1:9" x14ac:dyDescent="0.2">
      <c r="A7" s="1">
        <v>45314</v>
      </c>
      <c r="B7" t="s">
        <v>26</v>
      </c>
      <c r="C7" t="s">
        <v>234</v>
      </c>
      <c r="D7" t="s">
        <v>28</v>
      </c>
      <c r="E7" t="str" cm="1">
        <f t="array" ref="E7">_xlfn.XLOOKUP(D7,_xlfn.ANCHORARRAY('Item_ Master'!$A$2),'Item_ Master'!$B$2:$B$14,0,0)</f>
        <v>Household</v>
      </c>
      <c r="F7">
        <v>1</v>
      </c>
      <c r="G7" s="3">
        <v>585.21</v>
      </c>
      <c r="H7" t="s">
        <v>20</v>
      </c>
      <c r="I7" s="2">
        <f t="shared" si="0"/>
        <v>585.21</v>
      </c>
    </row>
    <row r="8" spans="1:9" x14ac:dyDescent="0.2">
      <c r="A8" s="1">
        <v>45442</v>
      </c>
      <c r="B8" t="s">
        <v>30</v>
      </c>
      <c r="C8" t="s">
        <v>232</v>
      </c>
      <c r="D8" t="s">
        <v>59</v>
      </c>
      <c r="E8" t="str" cm="1">
        <f t="array" ref="E8">_xlfn.XLOOKUP(D8,_xlfn.ANCHORARRAY('Item_ Master'!$A$2),'Item_ Master'!$B$2:$B$14,0,0)</f>
        <v>Produce</v>
      </c>
      <c r="F8">
        <v>10</v>
      </c>
      <c r="G8" s="3">
        <v>155.76</v>
      </c>
      <c r="H8" t="s">
        <v>12</v>
      </c>
      <c r="I8" s="2">
        <f t="shared" si="0"/>
        <v>1557.6</v>
      </c>
    </row>
    <row r="9" spans="1:9" x14ac:dyDescent="0.2">
      <c r="A9" s="1">
        <v>45408</v>
      </c>
      <c r="B9" t="s">
        <v>32</v>
      </c>
      <c r="C9" t="s">
        <v>235</v>
      </c>
      <c r="D9" t="s">
        <v>52</v>
      </c>
      <c r="E9" t="str" cm="1">
        <f t="array" ref="E9">_xlfn.XLOOKUP(D9,_xlfn.ANCHORARRAY('Item_ Master'!$A$2),'Item_ Master'!$B$2:$B$14,0,0)</f>
        <v>Dairy</v>
      </c>
      <c r="F9">
        <v>4</v>
      </c>
      <c r="G9" s="3">
        <v>526.57000000000005</v>
      </c>
      <c r="H9" t="s">
        <v>20</v>
      </c>
      <c r="I9" s="2">
        <f t="shared" si="0"/>
        <v>2106.2800000000002</v>
      </c>
    </row>
    <row r="10" spans="1:9" x14ac:dyDescent="0.2">
      <c r="A10" s="1">
        <v>45617</v>
      </c>
      <c r="B10" t="s">
        <v>36</v>
      </c>
      <c r="C10" t="s">
        <v>233</v>
      </c>
      <c r="D10" t="s">
        <v>59</v>
      </c>
      <c r="E10" t="str" cm="1">
        <f t="array" ref="E10">_xlfn.XLOOKUP(D10,_xlfn.ANCHORARRAY('Item_ Master'!$A$2),'Item_ Master'!$B$2:$B$14,0,0)</f>
        <v>Produce</v>
      </c>
      <c r="F10">
        <v>6</v>
      </c>
      <c r="G10" s="3">
        <v>165.23</v>
      </c>
      <c r="H10" t="s">
        <v>20</v>
      </c>
      <c r="I10" s="2">
        <f t="shared" si="0"/>
        <v>991.37999999999988</v>
      </c>
    </row>
    <row r="11" spans="1:9" x14ac:dyDescent="0.2">
      <c r="A11" s="1">
        <v>45328</v>
      </c>
      <c r="B11" t="s">
        <v>37</v>
      </c>
      <c r="C11" t="s">
        <v>233</v>
      </c>
      <c r="D11" t="s">
        <v>28</v>
      </c>
      <c r="E11" t="str" cm="1">
        <f t="array" ref="E11">_xlfn.XLOOKUP(D11,_xlfn.ANCHORARRAY('Item_ Master'!$A$2),'Item_ Master'!$B$2:$B$14,0,0)</f>
        <v>Household</v>
      </c>
      <c r="F11">
        <v>4</v>
      </c>
      <c r="G11" s="3">
        <v>139.87</v>
      </c>
      <c r="H11" t="s">
        <v>20</v>
      </c>
      <c r="I11" s="2">
        <f t="shared" si="0"/>
        <v>559.48</v>
      </c>
    </row>
    <row r="12" spans="1:9" x14ac:dyDescent="0.2">
      <c r="A12" s="1">
        <v>45619</v>
      </c>
      <c r="B12" t="s">
        <v>39</v>
      </c>
      <c r="C12" t="s">
        <v>232</v>
      </c>
      <c r="D12" t="s">
        <v>40</v>
      </c>
      <c r="E12" t="str" cm="1">
        <f t="array" ref="E12">_xlfn.XLOOKUP(D12,_xlfn.ANCHORARRAY('Item_ Master'!$A$2),'Item_ Master'!$B$2:$B$14,0,0)</f>
        <v>Household</v>
      </c>
      <c r="F12">
        <v>6</v>
      </c>
      <c r="G12" s="3">
        <v>513.57000000000005</v>
      </c>
      <c r="H12" t="s">
        <v>12</v>
      </c>
      <c r="I12" s="2">
        <f t="shared" si="0"/>
        <v>3081.42</v>
      </c>
    </row>
    <row r="13" spans="1:9" x14ac:dyDescent="0.2">
      <c r="A13" s="1">
        <v>45308</v>
      </c>
      <c r="B13" t="s">
        <v>41</v>
      </c>
      <c r="C13" t="s">
        <v>234</v>
      </c>
      <c r="D13" t="s">
        <v>40</v>
      </c>
      <c r="E13" t="str" cm="1">
        <f t="array" ref="E13">_xlfn.XLOOKUP(D13,_xlfn.ANCHORARRAY('Item_ Master'!$A$2),'Item_ Master'!$B$2:$B$14,0,0)</f>
        <v>Household</v>
      </c>
      <c r="F13">
        <v>2</v>
      </c>
      <c r="G13" s="3">
        <v>166.04</v>
      </c>
      <c r="H13" t="s">
        <v>43</v>
      </c>
      <c r="I13" s="2">
        <f t="shared" si="0"/>
        <v>332.08</v>
      </c>
    </row>
    <row r="14" spans="1:9" x14ac:dyDescent="0.2">
      <c r="A14" s="1">
        <v>45453</v>
      </c>
      <c r="B14" t="s">
        <v>44</v>
      </c>
      <c r="C14" t="s">
        <v>234</v>
      </c>
      <c r="D14" t="s">
        <v>25</v>
      </c>
      <c r="E14" t="str" cm="1">
        <f t="array" ref="E14">_xlfn.XLOOKUP(D14,_xlfn.ANCHORARRAY('Item_ Master'!$A$2),'Item_ Master'!$B$2:$B$14,0,0)</f>
        <v>Grocery</v>
      </c>
      <c r="F14">
        <v>8</v>
      </c>
      <c r="G14" s="3">
        <v>128.58000000000001</v>
      </c>
      <c r="H14" t="s">
        <v>12</v>
      </c>
      <c r="I14" s="2">
        <f t="shared" si="0"/>
        <v>1028.6400000000001</v>
      </c>
    </row>
    <row r="15" spans="1:9" x14ac:dyDescent="0.2">
      <c r="A15" s="1">
        <v>45579</v>
      </c>
      <c r="B15" t="s">
        <v>45</v>
      </c>
      <c r="C15" t="s">
        <v>235</v>
      </c>
      <c r="D15" t="s">
        <v>10</v>
      </c>
      <c r="E15" t="str" cm="1">
        <f t="array" ref="E15">_xlfn.XLOOKUP(D15,_xlfn.ANCHORARRAY('Item_ Master'!$A$2),'Item_ Master'!$B$2:$B$14,0,0)</f>
        <v>Produce</v>
      </c>
      <c r="F15">
        <v>10</v>
      </c>
      <c r="G15" s="3">
        <v>285.64</v>
      </c>
      <c r="H15" t="s">
        <v>43</v>
      </c>
      <c r="I15" s="2">
        <f t="shared" si="0"/>
        <v>2856.3999999999996</v>
      </c>
    </row>
    <row r="16" spans="1:9" x14ac:dyDescent="0.2">
      <c r="A16" s="1">
        <v>45404</v>
      </c>
      <c r="B16" t="s">
        <v>46</v>
      </c>
      <c r="C16" t="s">
        <v>232</v>
      </c>
      <c r="D16" t="s">
        <v>62</v>
      </c>
      <c r="E16" t="str" cm="1">
        <f t="array" ref="E16">_xlfn.XLOOKUP(D16,_xlfn.ANCHORARRAY('Item_ Master'!$A$2),'Item_ Master'!$B$2:$B$14,0,0)</f>
        <v>Produce</v>
      </c>
      <c r="F16">
        <v>2</v>
      </c>
      <c r="G16" s="3">
        <v>465.68</v>
      </c>
      <c r="H16" t="s">
        <v>12</v>
      </c>
      <c r="I16" s="2">
        <f t="shared" si="0"/>
        <v>931.36</v>
      </c>
    </row>
    <row r="17" spans="1:9" x14ac:dyDescent="0.2">
      <c r="A17" s="1">
        <v>45373</v>
      </c>
      <c r="B17" t="s">
        <v>48</v>
      </c>
      <c r="C17" t="s">
        <v>234</v>
      </c>
      <c r="D17" t="s">
        <v>49</v>
      </c>
      <c r="E17" t="str" cm="1">
        <f t="array" ref="E17">_xlfn.XLOOKUP(D17,_xlfn.ANCHORARRAY('Item_ Master'!$A$2),'Item_ Master'!$B$2:$B$14,0,0)</f>
        <v>Personal Care</v>
      </c>
      <c r="F17">
        <v>2</v>
      </c>
      <c r="G17" s="3">
        <v>261.62</v>
      </c>
      <c r="H17" t="s">
        <v>43</v>
      </c>
      <c r="I17" s="2">
        <f t="shared" si="0"/>
        <v>523.24</v>
      </c>
    </row>
    <row r="18" spans="1:9" x14ac:dyDescent="0.2">
      <c r="A18" s="1">
        <v>45562</v>
      </c>
      <c r="B18" t="s">
        <v>51</v>
      </c>
      <c r="C18" t="s">
        <v>232</v>
      </c>
      <c r="D18" t="s">
        <v>52</v>
      </c>
      <c r="E18" t="str" cm="1">
        <f t="array" ref="E18">_xlfn.XLOOKUP(D18,_xlfn.ANCHORARRAY('Item_ Master'!$A$2),'Item_ Master'!$B$2:$B$14,0,0)</f>
        <v>Dairy</v>
      </c>
      <c r="F18">
        <v>2</v>
      </c>
      <c r="G18" s="3">
        <v>424.94</v>
      </c>
      <c r="H18" t="s">
        <v>43</v>
      </c>
      <c r="I18" s="2">
        <f t="shared" si="0"/>
        <v>849.88</v>
      </c>
    </row>
    <row r="19" spans="1:9" x14ac:dyDescent="0.2">
      <c r="A19" s="1">
        <v>45620</v>
      </c>
      <c r="B19" t="s">
        <v>53</v>
      </c>
      <c r="C19" t="s">
        <v>231</v>
      </c>
      <c r="D19" t="s">
        <v>40</v>
      </c>
      <c r="E19" t="str" cm="1">
        <f t="array" ref="E19">_xlfn.XLOOKUP(D19,_xlfn.ANCHORARRAY('Item_ Master'!$A$2),'Item_ Master'!$B$2:$B$14,0,0)</f>
        <v>Household</v>
      </c>
      <c r="F19">
        <v>7</v>
      </c>
      <c r="G19" s="3">
        <v>136.99</v>
      </c>
      <c r="H19" t="s">
        <v>12</v>
      </c>
      <c r="I19" s="2">
        <f t="shared" si="0"/>
        <v>958.93000000000006</v>
      </c>
    </row>
    <row r="20" spans="1:9" x14ac:dyDescent="0.2">
      <c r="A20" s="1">
        <v>45426</v>
      </c>
      <c r="B20" t="s">
        <v>55</v>
      </c>
      <c r="C20" t="s">
        <v>233</v>
      </c>
      <c r="D20" t="s">
        <v>251</v>
      </c>
      <c r="E20" t="str" cm="1">
        <f t="array" ref="E20">_xlfn.XLOOKUP(D20,_xlfn.ANCHORARRAY('Item_ Master'!$A$2),'Item_ Master'!$B$2:$B$14,0,0)</f>
        <v>Household</v>
      </c>
      <c r="F20">
        <v>2</v>
      </c>
      <c r="G20" s="3">
        <v>528.79</v>
      </c>
      <c r="H20" t="s">
        <v>20</v>
      </c>
      <c r="I20" s="2">
        <f t="shared" si="0"/>
        <v>1057.58</v>
      </c>
    </row>
    <row r="21" spans="1:9" x14ac:dyDescent="0.2">
      <c r="A21" s="1">
        <v>45551</v>
      </c>
      <c r="B21" t="s">
        <v>37</v>
      </c>
      <c r="C21" t="s">
        <v>233</v>
      </c>
      <c r="D21" t="s">
        <v>57</v>
      </c>
      <c r="E21" t="str" cm="1">
        <f t="array" ref="E21">_xlfn.XLOOKUP(D21,_xlfn.ANCHORARRAY('Item_ Master'!$A$2),'Item_ Master'!$B$2:$B$14,0,0)</f>
        <v>Bakery</v>
      </c>
      <c r="F21">
        <v>6</v>
      </c>
      <c r="G21" s="3">
        <v>469.38</v>
      </c>
      <c r="H21" t="s">
        <v>43</v>
      </c>
      <c r="I21" s="2">
        <f t="shared" si="0"/>
        <v>2816.2799999999997</v>
      </c>
    </row>
    <row r="22" spans="1:9" x14ac:dyDescent="0.2">
      <c r="A22" s="1">
        <v>45563</v>
      </c>
      <c r="B22" t="s">
        <v>58</v>
      </c>
      <c r="C22" t="s">
        <v>232</v>
      </c>
      <c r="D22" t="s">
        <v>59</v>
      </c>
      <c r="E22" t="str" cm="1">
        <f t="array" ref="E22">_xlfn.XLOOKUP(D22,_xlfn.ANCHORARRAY('Item_ Master'!$A$2),'Item_ Master'!$B$2:$B$14,0,0)</f>
        <v>Produce</v>
      </c>
      <c r="F22">
        <v>8</v>
      </c>
      <c r="G22" s="3">
        <v>60.71</v>
      </c>
      <c r="H22" t="s">
        <v>20</v>
      </c>
      <c r="I22" s="2">
        <f t="shared" si="0"/>
        <v>485.68</v>
      </c>
    </row>
    <row r="23" spans="1:9" x14ac:dyDescent="0.2">
      <c r="A23" s="1">
        <v>45449</v>
      </c>
      <c r="B23" t="s">
        <v>60</v>
      </c>
      <c r="C23" t="s">
        <v>231</v>
      </c>
      <c r="D23" t="s">
        <v>40</v>
      </c>
      <c r="E23" t="str" cm="1">
        <f t="array" ref="E23">_xlfn.XLOOKUP(D23,_xlfn.ANCHORARRAY('Item_ Master'!$A$2),'Item_ Master'!$B$2:$B$14,0,0)</f>
        <v>Household</v>
      </c>
      <c r="F23">
        <v>10</v>
      </c>
      <c r="G23" s="3">
        <v>570.82000000000005</v>
      </c>
      <c r="H23" t="s">
        <v>12</v>
      </c>
      <c r="I23" s="2">
        <f t="shared" si="0"/>
        <v>5708.2000000000007</v>
      </c>
    </row>
    <row r="24" spans="1:9" x14ac:dyDescent="0.2">
      <c r="A24" s="1">
        <v>45327</v>
      </c>
      <c r="B24" t="s">
        <v>21</v>
      </c>
      <c r="C24" t="s">
        <v>232</v>
      </c>
      <c r="D24" t="s">
        <v>57</v>
      </c>
      <c r="E24" t="str" cm="1">
        <f t="array" ref="E24">_xlfn.XLOOKUP(D24,_xlfn.ANCHORARRAY('Item_ Master'!$A$2),'Item_ Master'!$B$2:$B$14,0,0)</f>
        <v>Bakery</v>
      </c>
      <c r="F24">
        <v>3</v>
      </c>
      <c r="G24" s="3">
        <v>412.86</v>
      </c>
      <c r="H24" t="s">
        <v>43</v>
      </c>
      <c r="I24" s="2">
        <f t="shared" si="0"/>
        <v>1238.58</v>
      </c>
    </row>
    <row r="25" spans="1:9" x14ac:dyDescent="0.2">
      <c r="A25" s="1">
        <v>45562</v>
      </c>
      <c r="B25" t="s">
        <v>37</v>
      </c>
      <c r="C25" t="s">
        <v>234</v>
      </c>
      <c r="D25" t="s">
        <v>57</v>
      </c>
      <c r="E25" t="str" cm="1">
        <f t="array" ref="E25">_xlfn.XLOOKUP(D25,_xlfn.ANCHORARRAY('Item_ Master'!$A$2),'Item_ Master'!$B$2:$B$14,0,0)</f>
        <v>Bakery</v>
      </c>
      <c r="F25">
        <v>9</v>
      </c>
      <c r="G25" s="3">
        <v>465.4</v>
      </c>
      <c r="H25" t="s">
        <v>43</v>
      </c>
      <c r="I25" s="2">
        <f t="shared" si="0"/>
        <v>4188.5999999999995</v>
      </c>
    </row>
    <row r="26" spans="1:9" x14ac:dyDescent="0.2">
      <c r="A26" s="1">
        <v>45451</v>
      </c>
      <c r="B26" t="s">
        <v>61</v>
      </c>
      <c r="C26" t="s">
        <v>235</v>
      </c>
      <c r="D26" t="s">
        <v>62</v>
      </c>
      <c r="E26" t="str" cm="1">
        <f t="array" ref="E26">_xlfn.XLOOKUP(D26,_xlfn.ANCHORARRAY('Item_ Master'!$A$2),'Item_ Master'!$B$2:$B$14,0,0)</f>
        <v>Produce</v>
      </c>
      <c r="F26">
        <v>9</v>
      </c>
      <c r="G26" s="3">
        <v>298.32</v>
      </c>
      <c r="H26" t="s">
        <v>12</v>
      </c>
      <c r="I26" s="2">
        <f t="shared" si="0"/>
        <v>2684.88</v>
      </c>
    </row>
    <row r="27" spans="1:9" x14ac:dyDescent="0.2">
      <c r="A27" s="1">
        <v>45465</v>
      </c>
      <c r="B27" t="s">
        <v>63</v>
      </c>
      <c r="C27" t="s">
        <v>232</v>
      </c>
      <c r="D27" t="s">
        <v>28</v>
      </c>
      <c r="E27" t="str" cm="1">
        <f t="array" ref="E27">_xlfn.XLOOKUP(D27,_xlfn.ANCHORARRAY('Item_ Master'!$A$2),'Item_ Master'!$B$2:$B$14,0,0)</f>
        <v>Household</v>
      </c>
      <c r="F27">
        <v>4</v>
      </c>
      <c r="G27" s="3">
        <v>373.64</v>
      </c>
      <c r="H27" t="s">
        <v>12</v>
      </c>
      <c r="I27" s="2">
        <f t="shared" si="0"/>
        <v>1494.56</v>
      </c>
    </row>
    <row r="28" spans="1:9" x14ac:dyDescent="0.2">
      <c r="A28" s="1">
        <v>45615</v>
      </c>
      <c r="B28" t="s">
        <v>64</v>
      </c>
      <c r="C28" t="s">
        <v>233</v>
      </c>
      <c r="D28" t="s">
        <v>52</v>
      </c>
      <c r="E28" t="str" cm="1">
        <f t="array" ref="E28">_xlfn.XLOOKUP(D28,_xlfn.ANCHORARRAY('Item_ Master'!$A$2),'Item_ Master'!$B$2:$B$14,0,0)</f>
        <v>Dairy</v>
      </c>
      <c r="F28">
        <v>1</v>
      </c>
      <c r="G28" s="3">
        <v>522.79999999999995</v>
      </c>
      <c r="H28" t="s">
        <v>12</v>
      </c>
      <c r="I28" s="2">
        <f t="shared" si="0"/>
        <v>522.79999999999995</v>
      </c>
    </row>
    <row r="29" spans="1:9" x14ac:dyDescent="0.2">
      <c r="A29" s="1">
        <v>45434</v>
      </c>
      <c r="B29" t="s">
        <v>65</v>
      </c>
      <c r="C29" t="s">
        <v>234</v>
      </c>
      <c r="D29" t="s">
        <v>57</v>
      </c>
      <c r="E29" t="str" cm="1">
        <f t="array" ref="E29">_xlfn.XLOOKUP(D29,_xlfn.ANCHORARRAY('Item_ Master'!$A$2),'Item_ Master'!$B$2:$B$14,0,0)</f>
        <v>Bakery</v>
      </c>
      <c r="F29">
        <v>9</v>
      </c>
      <c r="G29" s="3">
        <v>122.77</v>
      </c>
      <c r="H29" t="s">
        <v>43</v>
      </c>
      <c r="I29" s="2">
        <f t="shared" si="0"/>
        <v>1104.93</v>
      </c>
    </row>
    <row r="30" spans="1:9" x14ac:dyDescent="0.2">
      <c r="A30" s="1">
        <v>45416</v>
      </c>
      <c r="B30" t="s">
        <v>66</v>
      </c>
      <c r="C30" t="s">
        <v>234</v>
      </c>
      <c r="D30" t="s">
        <v>25</v>
      </c>
      <c r="E30" t="str" cm="1">
        <f t="array" ref="E30">_xlfn.XLOOKUP(D30,_xlfn.ANCHORARRAY('Item_ Master'!$A$2),'Item_ Master'!$B$2:$B$14,0,0)</f>
        <v>Grocery</v>
      </c>
      <c r="F30">
        <v>4</v>
      </c>
      <c r="G30" s="3">
        <v>101.88</v>
      </c>
      <c r="H30" t="s">
        <v>43</v>
      </c>
      <c r="I30" s="2">
        <f t="shared" si="0"/>
        <v>407.52</v>
      </c>
    </row>
    <row r="31" spans="1:9" x14ac:dyDescent="0.2">
      <c r="A31" s="1">
        <v>45508</v>
      </c>
      <c r="B31" t="s">
        <v>67</v>
      </c>
      <c r="C31" t="s">
        <v>234</v>
      </c>
      <c r="D31" t="s">
        <v>10</v>
      </c>
      <c r="E31" t="str" cm="1">
        <f t="array" ref="E31">_xlfn.XLOOKUP(D31,_xlfn.ANCHORARRAY('Item_ Master'!$A$2),'Item_ Master'!$B$2:$B$14,0,0)</f>
        <v>Produce</v>
      </c>
      <c r="F31">
        <v>1</v>
      </c>
      <c r="G31" s="3">
        <v>420.35</v>
      </c>
      <c r="H31" t="s">
        <v>43</v>
      </c>
      <c r="I31" s="2">
        <f t="shared" si="0"/>
        <v>420.35</v>
      </c>
    </row>
    <row r="32" spans="1:9" x14ac:dyDescent="0.2">
      <c r="A32" s="1">
        <v>45498</v>
      </c>
      <c r="B32" t="s">
        <v>26</v>
      </c>
      <c r="C32" t="s">
        <v>235</v>
      </c>
      <c r="D32" t="s">
        <v>52</v>
      </c>
      <c r="E32" t="str" cm="1">
        <f t="array" ref="E32">_xlfn.XLOOKUP(D32,_xlfn.ANCHORARRAY('Item_ Master'!$A$2),'Item_ Master'!$B$2:$B$14,0,0)</f>
        <v>Dairy</v>
      </c>
      <c r="F32">
        <v>4</v>
      </c>
      <c r="G32" s="3">
        <v>155.37</v>
      </c>
      <c r="H32" t="s">
        <v>43</v>
      </c>
      <c r="I32" s="2">
        <f t="shared" si="0"/>
        <v>621.48</v>
      </c>
    </row>
    <row r="33" spans="1:9" x14ac:dyDescent="0.2">
      <c r="A33" s="1">
        <v>45508</v>
      </c>
      <c r="B33" t="s">
        <v>69</v>
      </c>
      <c r="C33" t="s">
        <v>235</v>
      </c>
      <c r="D33" t="s">
        <v>62</v>
      </c>
      <c r="E33" t="str" cm="1">
        <f t="array" ref="E33">_xlfn.XLOOKUP(D33,_xlfn.ANCHORARRAY('Item_ Master'!$A$2),'Item_ Master'!$B$2:$B$14,0,0)</f>
        <v>Produce</v>
      </c>
      <c r="F33">
        <v>4</v>
      </c>
      <c r="G33" s="3">
        <v>530.97</v>
      </c>
      <c r="H33" t="s">
        <v>12</v>
      </c>
      <c r="I33" s="2">
        <f t="shared" si="0"/>
        <v>2123.88</v>
      </c>
    </row>
    <row r="34" spans="1:9" x14ac:dyDescent="0.2">
      <c r="A34" s="1">
        <v>45573</v>
      </c>
      <c r="B34" t="s">
        <v>70</v>
      </c>
      <c r="C34" t="s">
        <v>231</v>
      </c>
      <c r="D34" t="s">
        <v>71</v>
      </c>
      <c r="E34" t="str" cm="1">
        <f t="array" ref="E34">_xlfn.XLOOKUP(D34,_xlfn.ANCHORARRAY('Item_ Master'!$A$2),'Item_ Master'!$B$2:$B$14,0,0)</f>
        <v>Household</v>
      </c>
      <c r="F34">
        <v>9</v>
      </c>
      <c r="G34" s="3">
        <v>509.82</v>
      </c>
      <c r="H34" t="s">
        <v>12</v>
      </c>
      <c r="I34" s="2">
        <f t="shared" si="0"/>
        <v>4588.38</v>
      </c>
    </row>
    <row r="35" spans="1:9" x14ac:dyDescent="0.2">
      <c r="A35" s="1">
        <v>45413</v>
      </c>
      <c r="B35" t="s">
        <v>72</v>
      </c>
      <c r="C35" t="s">
        <v>234</v>
      </c>
      <c r="D35" t="s">
        <v>62</v>
      </c>
      <c r="E35" t="str" cm="1">
        <f t="array" ref="E35">_xlfn.XLOOKUP(D35,_xlfn.ANCHORARRAY('Item_ Master'!$A$2),'Item_ Master'!$B$2:$B$14,0,0)</f>
        <v>Produce</v>
      </c>
      <c r="F35">
        <v>8</v>
      </c>
      <c r="G35" s="3">
        <v>167.56</v>
      </c>
      <c r="H35" t="s">
        <v>20</v>
      </c>
      <c r="I35" s="2">
        <f t="shared" si="0"/>
        <v>1340.48</v>
      </c>
    </row>
    <row r="36" spans="1:9" x14ac:dyDescent="0.2">
      <c r="A36" s="1">
        <v>45376</v>
      </c>
      <c r="B36" t="s">
        <v>73</v>
      </c>
      <c r="C36" t="s">
        <v>231</v>
      </c>
      <c r="D36" t="s">
        <v>25</v>
      </c>
      <c r="E36" t="str" cm="1">
        <f t="array" ref="E36">_xlfn.XLOOKUP(D36,_xlfn.ANCHORARRAY('Item_ Master'!$A$2),'Item_ Master'!$B$2:$B$14,0,0)</f>
        <v>Grocery</v>
      </c>
      <c r="F36">
        <v>5</v>
      </c>
      <c r="G36" s="3">
        <v>559.58000000000004</v>
      </c>
      <c r="H36" t="s">
        <v>20</v>
      </c>
      <c r="I36" s="2">
        <f t="shared" si="0"/>
        <v>2797.9</v>
      </c>
    </row>
    <row r="37" spans="1:9" x14ac:dyDescent="0.2">
      <c r="A37" s="1">
        <v>45576</v>
      </c>
      <c r="B37" t="s">
        <v>74</v>
      </c>
      <c r="C37" t="s">
        <v>234</v>
      </c>
      <c r="D37" t="s">
        <v>57</v>
      </c>
      <c r="E37" t="str" cm="1">
        <f t="array" ref="E37">_xlfn.XLOOKUP(D37,_xlfn.ANCHORARRAY('Item_ Master'!$A$2),'Item_ Master'!$B$2:$B$14,0,0)</f>
        <v>Bakery</v>
      </c>
      <c r="F37">
        <v>4</v>
      </c>
      <c r="G37" s="3">
        <v>213.19</v>
      </c>
      <c r="H37" t="s">
        <v>12</v>
      </c>
      <c r="I37" s="2">
        <f t="shared" si="0"/>
        <v>852.76</v>
      </c>
    </row>
    <row r="38" spans="1:9" x14ac:dyDescent="0.2">
      <c r="A38" s="1">
        <v>45569</v>
      </c>
      <c r="B38" t="s">
        <v>64</v>
      </c>
      <c r="C38" t="s">
        <v>235</v>
      </c>
      <c r="D38" t="s">
        <v>52</v>
      </c>
      <c r="E38" t="str" cm="1">
        <f t="array" ref="E38">_xlfn.XLOOKUP(D38,_xlfn.ANCHORARRAY('Item_ Master'!$A$2),'Item_ Master'!$B$2:$B$14,0,0)</f>
        <v>Dairy</v>
      </c>
      <c r="F38">
        <v>1</v>
      </c>
      <c r="G38" s="3">
        <v>371.3</v>
      </c>
      <c r="H38" t="s">
        <v>43</v>
      </c>
      <c r="I38" s="2">
        <f t="shared" si="0"/>
        <v>371.3</v>
      </c>
    </row>
    <row r="39" spans="1:9" x14ac:dyDescent="0.2">
      <c r="A39" s="1">
        <v>45563</v>
      </c>
      <c r="B39" t="s">
        <v>76</v>
      </c>
      <c r="C39" t="s">
        <v>231</v>
      </c>
      <c r="D39" t="s">
        <v>251</v>
      </c>
      <c r="E39" t="str" cm="1">
        <f t="array" ref="E39">_xlfn.XLOOKUP(D39,_xlfn.ANCHORARRAY('Item_ Master'!$A$2),'Item_ Master'!$B$2:$B$14,0,0)</f>
        <v>Household</v>
      </c>
      <c r="F39">
        <v>2</v>
      </c>
      <c r="G39" s="3">
        <v>518.24</v>
      </c>
      <c r="H39" t="s">
        <v>12</v>
      </c>
      <c r="I39" s="2">
        <f t="shared" si="0"/>
        <v>1036.48</v>
      </c>
    </row>
    <row r="40" spans="1:9" x14ac:dyDescent="0.2">
      <c r="A40" s="1">
        <v>45412</v>
      </c>
      <c r="B40" t="s">
        <v>77</v>
      </c>
      <c r="C40" t="s">
        <v>231</v>
      </c>
      <c r="D40" t="s">
        <v>78</v>
      </c>
      <c r="E40" t="str" cm="1">
        <f t="array" ref="E40">_xlfn.XLOOKUP(D40,_xlfn.ANCHORARRAY('Item_ Master'!$A$2),'Item_ Master'!$B$2:$B$14,0,0)</f>
        <v>Personal Care</v>
      </c>
      <c r="F40">
        <v>4</v>
      </c>
      <c r="G40" s="3">
        <v>368.41</v>
      </c>
      <c r="H40" t="s">
        <v>12</v>
      </c>
      <c r="I40" s="2">
        <f t="shared" si="0"/>
        <v>1473.64</v>
      </c>
    </row>
    <row r="41" spans="1:9" x14ac:dyDescent="0.2">
      <c r="A41" s="1">
        <v>45506</v>
      </c>
      <c r="B41" t="s">
        <v>79</v>
      </c>
      <c r="C41" t="s">
        <v>232</v>
      </c>
      <c r="D41" t="s">
        <v>78</v>
      </c>
      <c r="E41" t="str" cm="1">
        <f t="array" ref="E41">_xlfn.XLOOKUP(D41,_xlfn.ANCHORARRAY('Item_ Master'!$A$2),'Item_ Master'!$B$2:$B$14,0,0)</f>
        <v>Personal Care</v>
      </c>
      <c r="F41">
        <v>9</v>
      </c>
      <c r="G41" s="3">
        <v>224</v>
      </c>
      <c r="H41" t="s">
        <v>20</v>
      </c>
      <c r="I41" s="2">
        <f t="shared" si="0"/>
        <v>2016</v>
      </c>
    </row>
    <row r="42" spans="1:9" x14ac:dyDescent="0.2">
      <c r="A42" s="1">
        <v>45452</v>
      </c>
      <c r="B42" t="s">
        <v>60</v>
      </c>
      <c r="C42" t="s">
        <v>235</v>
      </c>
      <c r="D42" t="s">
        <v>25</v>
      </c>
      <c r="E42" t="str" cm="1">
        <f t="array" ref="E42">_xlfn.XLOOKUP(D42,_xlfn.ANCHORARRAY('Item_ Master'!$A$2),'Item_ Master'!$B$2:$B$14,0,0)</f>
        <v>Grocery</v>
      </c>
      <c r="F42">
        <v>3</v>
      </c>
      <c r="G42" s="3">
        <v>419.43</v>
      </c>
      <c r="H42" t="s">
        <v>20</v>
      </c>
      <c r="I42" s="2">
        <f t="shared" si="0"/>
        <v>1258.29</v>
      </c>
    </row>
    <row r="43" spans="1:9" x14ac:dyDescent="0.2">
      <c r="A43" s="1">
        <v>45329</v>
      </c>
      <c r="B43" t="s">
        <v>80</v>
      </c>
      <c r="C43" t="s">
        <v>234</v>
      </c>
      <c r="D43" t="s">
        <v>49</v>
      </c>
      <c r="E43" t="str" cm="1">
        <f t="array" ref="E43">_xlfn.XLOOKUP(D43,_xlfn.ANCHORARRAY('Item_ Master'!$A$2),'Item_ Master'!$B$2:$B$14,0,0)</f>
        <v>Personal Care</v>
      </c>
      <c r="F43">
        <v>10</v>
      </c>
      <c r="G43" s="3">
        <v>597.85</v>
      </c>
      <c r="H43" t="s">
        <v>12</v>
      </c>
      <c r="I43" s="2">
        <f t="shared" si="0"/>
        <v>5978.5</v>
      </c>
    </row>
    <row r="44" spans="1:9" x14ac:dyDescent="0.2">
      <c r="A44" s="1">
        <v>45551</v>
      </c>
      <c r="B44" t="s">
        <v>81</v>
      </c>
      <c r="C44" t="s">
        <v>233</v>
      </c>
      <c r="D44" t="s">
        <v>59</v>
      </c>
      <c r="E44" t="str" cm="1">
        <f t="array" ref="E44">_xlfn.XLOOKUP(D44,_xlfn.ANCHORARRAY('Item_ Master'!$A$2),'Item_ Master'!$B$2:$B$14,0,0)</f>
        <v>Produce</v>
      </c>
      <c r="F44">
        <v>2</v>
      </c>
      <c r="G44" s="3">
        <v>533.6</v>
      </c>
      <c r="H44" t="s">
        <v>20</v>
      </c>
      <c r="I44" s="2">
        <f t="shared" si="0"/>
        <v>1067.2</v>
      </c>
    </row>
    <row r="45" spans="1:9" x14ac:dyDescent="0.2">
      <c r="A45" s="1">
        <v>45516</v>
      </c>
      <c r="B45" t="s">
        <v>82</v>
      </c>
      <c r="C45" t="s">
        <v>235</v>
      </c>
      <c r="D45" t="s">
        <v>49</v>
      </c>
      <c r="E45" t="str" cm="1">
        <f t="array" ref="E45">_xlfn.XLOOKUP(D45,_xlfn.ANCHORARRAY('Item_ Master'!$A$2),'Item_ Master'!$B$2:$B$14,0,0)</f>
        <v>Personal Care</v>
      </c>
      <c r="F45">
        <v>9</v>
      </c>
      <c r="G45" s="3">
        <v>54.3</v>
      </c>
      <c r="H45" t="s">
        <v>43</v>
      </c>
      <c r="I45" s="2">
        <f t="shared" si="0"/>
        <v>488.7</v>
      </c>
    </row>
    <row r="46" spans="1:9" x14ac:dyDescent="0.2">
      <c r="A46" s="1">
        <v>45345</v>
      </c>
      <c r="B46" t="s">
        <v>83</v>
      </c>
      <c r="C46" t="s">
        <v>235</v>
      </c>
      <c r="D46" t="s">
        <v>52</v>
      </c>
      <c r="E46" t="str" cm="1">
        <f t="array" ref="E46">_xlfn.XLOOKUP(D46,_xlfn.ANCHORARRAY('Item_ Master'!$A$2),'Item_ Master'!$B$2:$B$14,0,0)</f>
        <v>Dairy</v>
      </c>
      <c r="F46">
        <v>2</v>
      </c>
      <c r="G46" s="3">
        <v>458.33</v>
      </c>
      <c r="H46" t="s">
        <v>12</v>
      </c>
      <c r="I46" s="2">
        <f t="shared" si="0"/>
        <v>916.66</v>
      </c>
    </row>
    <row r="47" spans="1:9" x14ac:dyDescent="0.2">
      <c r="A47" s="1">
        <v>45601</v>
      </c>
      <c r="B47" t="s">
        <v>84</v>
      </c>
      <c r="C47" t="s">
        <v>235</v>
      </c>
      <c r="D47" t="s">
        <v>57</v>
      </c>
      <c r="E47" t="str" cm="1">
        <f t="array" ref="E47">_xlfn.XLOOKUP(D47,_xlfn.ANCHORARRAY('Item_ Master'!$A$2),'Item_ Master'!$B$2:$B$14,0,0)</f>
        <v>Bakery</v>
      </c>
      <c r="F47">
        <v>5</v>
      </c>
      <c r="G47" s="3">
        <v>327.97</v>
      </c>
      <c r="H47" t="s">
        <v>20</v>
      </c>
      <c r="I47" s="2">
        <f t="shared" si="0"/>
        <v>1639.8500000000001</v>
      </c>
    </row>
    <row r="48" spans="1:9" x14ac:dyDescent="0.2">
      <c r="A48" s="1">
        <v>45318</v>
      </c>
      <c r="B48" t="s">
        <v>85</v>
      </c>
      <c r="C48" t="s">
        <v>234</v>
      </c>
      <c r="D48" t="s">
        <v>40</v>
      </c>
      <c r="E48" t="str" cm="1">
        <f t="array" ref="E48">_xlfn.XLOOKUP(D48,_xlfn.ANCHORARRAY('Item_ Master'!$A$2),'Item_ Master'!$B$2:$B$14,0,0)</f>
        <v>Household</v>
      </c>
      <c r="F48">
        <v>1</v>
      </c>
      <c r="G48" s="3">
        <v>51.95</v>
      </c>
      <c r="H48" t="s">
        <v>12</v>
      </c>
      <c r="I48" s="2">
        <f t="shared" si="0"/>
        <v>51.95</v>
      </c>
    </row>
    <row r="49" spans="1:9" x14ac:dyDescent="0.2">
      <c r="A49" s="1">
        <v>45426</v>
      </c>
      <c r="B49" t="s">
        <v>86</v>
      </c>
      <c r="C49" t="s">
        <v>234</v>
      </c>
      <c r="D49" t="s">
        <v>28</v>
      </c>
      <c r="E49" t="str" cm="1">
        <f t="array" ref="E49">_xlfn.XLOOKUP(D49,_xlfn.ANCHORARRAY('Item_ Master'!$A$2),'Item_ Master'!$B$2:$B$14,0,0)</f>
        <v>Household</v>
      </c>
      <c r="F49">
        <v>7</v>
      </c>
      <c r="G49" s="3">
        <v>358.5</v>
      </c>
      <c r="H49" t="s">
        <v>12</v>
      </c>
      <c r="I49" s="2">
        <f t="shared" si="0"/>
        <v>2509.5</v>
      </c>
    </row>
    <row r="50" spans="1:9" x14ac:dyDescent="0.2">
      <c r="A50" s="1">
        <v>45368</v>
      </c>
      <c r="B50" t="s">
        <v>82</v>
      </c>
      <c r="C50" t="s">
        <v>231</v>
      </c>
      <c r="D50" t="s">
        <v>59</v>
      </c>
      <c r="E50" t="str" cm="1">
        <f t="array" ref="E50">_xlfn.XLOOKUP(D50,_xlfn.ANCHORARRAY('Item_ Master'!$A$2),'Item_ Master'!$B$2:$B$14,0,0)</f>
        <v>Produce</v>
      </c>
      <c r="F50">
        <v>10</v>
      </c>
      <c r="G50" s="3">
        <v>353.89</v>
      </c>
      <c r="H50" t="s">
        <v>20</v>
      </c>
      <c r="I50" s="2">
        <f t="shared" si="0"/>
        <v>3538.8999999999996</v>
      </c>
    </row>
    <row r="51" spans="1:9" x14ac:dyDescent="0.2">
      <c r="A51" s="1">
        <v>45449</v>
      </c>
      <c r="B51" t="s">
        <v>36</v>
      </c>
      <c r="C51" t="s">
        <v>231</v>
      </c>
      <c r="D51" t="s">
        <v>59</v>
      </c>
      <c r="E51" t="str" cm="1">
        <f t="array" ref="E51">_xlfn.XLOOKUP(D51,_xlfn.ANCHORARRAY('Item_ Master'!$A$2),'Item_ Master'!$B$2:$B$14,0,0)</f>
        <v>Produce</v>
      </c>
      <c r="F51">
        <v>4</v>
      </c>
      <c r="G51" s="3">
        <v>425.14</v>
      </c>
      <c r="H51" t="s">
        <v>43</v>
      </c>
      <c r="I51" s="2">
        <f t="shared" si="0"/>
        <v>1700.56</v>
      </c>
    </row>
    <row r="52" spans="1:9" x14ac:dyDescent="0.2">
      <c r="A52" s="1">
        <v>45578</v>
      </c>
      <c r="B52" t="s">
        <v>87</v>
      </c>
      <c r="C52" t="s">
        <v>232</v>
      </c>
      <c r="D52" t="s">
        <v>10</v>
      </c>
      <c r="E52" t="str" cm="1">
        <f t="array" ref="E52">_xlfn.XLOOKUP(D52,_xlfn.ANCHORARRAY('Item_ Master'!$A$2),'Item_ Master'!$B$2:$B$14,0,0)</f>
        <v>Produce</v>
      </c>
      <c r="F52">
        <v>3</v>
      </c>
      <c r="G52" s="3">
        <v>559.16999999999996</v>
      </c>
      <c r="H52" t="s">
        <v>12</v>
      </c>
      <c r="I52" s="2">
        <f t="shared" si="0"/>
        <v>1677.5099999999998</v>
      </c>
    </row>
    <row r="53" spans="1:9" x14ac:dyDescent="0.2">
      <c r="A53" s="1">
        <v>45382</v>
      </c>
      <c r="B53" t="s">
        <v>67</v>
      </c>
      <c r="C53" t="s">
        <v>231</v>
      </c>
      <c r="D53" t="s">
        <v>57</v>
      </c>
      <c r="E53" t="str" cm="1">
        <f t="array" ref="E53">_xlfn.XLOOKUP(D53,_xlfn.ANCHORARRAY('Item_ Master'!$A$2),'Item_ Master'!$B$2:$B$14,0,0)</f>
        <v>Bakery</v>
      </c>
      <c r="F53">
        <v>6</v>
      </c>
      <c r="G53" s="3">
        <v>480.31</v>
      </c>
      <c r="H53" t="s">
        <v>20</v>
      </c>
      <c r="I53" s="2">
        <f t="shared" si="0"/>
        <v>2881.86</v>
      </c>
    </row>
    <row r="54" spans="1:9" x14ac:dyDescent="0.2">
      <c r="A54" s="1">
        <v>45419</v>
      </c>
      <c r="B54" t="s">
        <v>89</v>
      </c>
      <c r="C54" t="s">
        <v>233</v>
      </c>
      <c r="D54" t="s">
        <v>23</v>
      </c>
      <c r="E54" t="str" cm="1">
        <f t="array" ref="E54">_xlfn.XLOOKUP(D54,_xlfn.ANCHORARRAY('Item_ Master'!$A$2),'Item_ Master'!$B$2:$B$14,0,0)</f>
        <v>Produce</v>
      </c>
      <c r="F54">
        <v>2</v>
      </c>
      <c r="G54" s="3">
        <v>260.39999999999998</v>
      </c>
      <c r="H54" t="s">
        <v>12</v>
      </c>
      <c r="I54" s="2">
        <f t="shared" si="0"/>
        <v>520.79999999999995</v>
      </c>
    </row>
    <row r="55" spans="1:9" x14ac:dyDescent="0.2">
      <c r="A55" s="1">
        <v>45405</v>
      </c>
      <c r="B55" t="s">
        <v>90</v>
      </c>
      <c r="C55" t="s">
        <v>234</v>
      </c>
      <c r="D55" t="s">
        <v>59</v>
      </c>
      <c r="E55" t="str" cm="1">
        <f t="array" ref="E55">_xlfn.XLOOKUP(D55,_xlfn.ANCHORARRAY('Item_ Master'!$A$2),'Item_ Master'!$B$2:$B$14,0,0)</f>
        <v>Produce</v>
      </c>
      <c r="F55">
        <v>5</v>
      </c>
      <c r="G55" s="3">
        <v>501.3</v>
      </c>
      <c r="H55" t="s">
        <v>12</v>
      </c>
      <c r="I55" s="2">
        <f t="shared" si="0"/>
        <v>2506.5</v>
      </c>
    </row>
    <row r="56" spans="1:9" x14ac:dyDescent="0.2">
      <c r="A56" s="1">
        <v>45390</v>
      </c>
      <c r="B56" t="s">
        <v>61</v>
      </c>
      <c r="C56" t="s">
        <v>235</v>
      </c>
      <c r="D56" t="s">
        <v>40</v>
      </c>
      <c r="E56" t="str" cm="1">
        <f t="array" ref="E56">_xlfn.XLOOKUP(D56,_xlfn.ANCHORARRAY('Item_ Master'!$A$2),'Item_ Master'!$B$2:$B$14,0,0)</f>
        <v>Household</v>
      </c>
      <c r="F56">
        <v>2</v>
      </c>
      <c r="G56" s="3">
        <v>581.79</v>
      </c>
      <c r="H56" t="s">
        <v>20</v>
      </c>
      <c r="I56" s="2">
        <f t="shared" si="0"/>
        <v>1163.58</v>
      </c>
    </row>
    <row r="57" spans="1:9" x14ac:dyDescent="0.2">
      <c r="A57" s="1">
        <v>45552</v>
      </c>
      <c r="B57" t="s">
        <v>61</v>
      </c>
      <c r="C57" t="s">
        <v>232</v>
      </c>
      <c r="D57" t="s">
        <v>59</v>
      </c>
      <c r="E57" t="str" cm="1">
        <f t="array" ref="E57">_xlfn.XLOOKUP(D57,_xlfn.ANCHORARRAY('Item_ Master'!$A$2),'Item_ Master'!$B$2:$B$14,0,0)</f>
        <v>Produce</v>
      </c>
      <c r="F57">
        <v>1</v>
      </c>
      <c r="G57" s="3">
        <v>113.44</v>
      </c>
      <c r="H57" t="s">
        <v>20</v>
      </c>
      <c r="I57" s="2">
        <f t="shared" si="0"/>
        <v>113.44</v>
      </c>
    </row>
    <row r="58" spans="1:9" x14ac:dyDescent="0.2">
      <c r="A58" s="1">
        <v>45427</v>
      </c>
      <c r="B58" t="s">
        <v>91</v>
      </c>
      <c r="C58" t="s">
        <v>231</v>
      </c>
      <c r="D58" t="s">
        <v>49</v>
      </c>
      <c r="E58" t="str" cm="1">
        <f t="array" ref="E58">_xlfn.XLOOKUP(D58,_xlfn.ANCHORARRAY('Item_ Master'!$A$2),'Item_ Master'!$B$2:$B$14,0,0)</f>
        <v>Personal Care</v>
      </c>
      <c r="F58">
        <v>7</v>
      </c>
      <c r="G58" s="3">
        <v>240.13</v>
      </c>
      <c r="H58" t="s">
        <v>20</v>
      </c>
      <c r="I58" s="2">
        <f t="shared" si="0"/>
        <v>1680.9099999999999</v>
      </c>
    </row>
    <row r="59" spans="1:9" x14ac:dyDescent="0.2">
      <c r="A59" s="1">
        <v>45553</v>
      </c>
      <c r="B59" t="s">
        <v>92</v>
      </c>
      <c r="C59" t="s">
        <v>234</v>
      </c>
      <c r="D59" t="s">
        <v>78</v>
      </c>
      <c r="E59" t="str" cm="1">
        <f t="array" ref="E59">_xlfn.XLOOKUP(D59,_xlfn.ANCHORARRAY('Item_ Master'!$A$2),'Item_ Master'!$B$2:$B$14,0,0)</f>
        <v>Personal Care</v>
      </c>
      <c r="F59">
        <v>4</v>
      </c>
      <c r="G59" s="3">
        <v>190.1</v>
      </c>
      <c r="H59" t="s">
        <v>43</v>
      </c>
      <c r="I59" s="2">
        <f t="shared" si="0"/>
        <v>760.4</v>
      </c>
    </row>
    <row r="60" spans="1:9" x14ac:dyDescent="0.2">
      <c r="A60" s="1">
        <v>45558</v>
      </c>
      <c r="B60" t="s">
        <v>45</v>
      </c>
      <c r="C60" t="s">
        <v>233</v>
      </c>
      <c r="D60" t="s">
        <v>59</v>
      </c>
      <c r="E60" t="str" cm="1">
        <f t="array" ref="E60">_xlfn.XLOOKUP(D60,_xlfn.ANCHORARRAY('Item_ Master'!$A$2),'Item_ Master'!$B$2:$B$14,0,0)</f>
        <v>Produce</v>
      </c>
      <c r="F60">
        <v>7</v>
      </c>
      <c r="G60" s="3">
        <v>88.49</v>
      </c>
      <c r="H60" t="s">
        <v>43</v>
      </c>
      <c r="I60" s="2">
        <f t="shared" si="0"/>
        <v>619.42999999999995</v>
      </c>
    </row>
    <row r="61" spans="1:9" x14ac:dyDescent="0.2">
      <c r="A61" s="1">
        <v>45611</v>
      </c>
      <c r="B61" t="s">
        <v>41</v>
      </c>
      <c r="C61" t="s">
        <v>231</v>
      </c>
      <c r="D61" t="s">
        <v>10</v>
      </c>
      <c r="E61" t="str" cm="1">
        <f t="array" ref="E61">_xlfn.XLOOKUP(D61,_xlfn.ANCHORARRAY('Item_ Master'!$A$2),'Item_ Master'!$B$2:$B$14,0,0)</f>
        <v>Produce</v>
      </c>
      <c r="F61">
        <v>5</v>
      </c>
      <c r="G61" s="3">
        <v>328.92</v>
      </c>
      <c r="H61" t="s">
        <v>43</v>
      </c>
      <c r="I61" s="2">
        <f t="shared" si="0"/>
        <v>1644.6000000000001</v>
      </c>
    </row>
    <row r="62" spans="1:9" x14ac:dyDescent="0.2">
      <c r="A62" s="1">
        <v>45498</v>
      </c>
      <c r="B62" t="s">
        <v>93</v>
      </c>
      <c r="C62" t="s">
        <v>235</v>
      </c>
      <c r="D62" t="s">
        <v>28</v>
      </c>
      <c r="E62" t="str" cm="1">
        <f t="array" ref="E62">_xlfn.XLOOKUP(D62,_xlfn.ANCHORARRAY('Item_ Master'!$A$2),'Item_ Master'!$B$2:$B$14,0,0)</f>
        <v>Household</v>
      </c>
      <c r="F62">
        <v>3</v>
      </c>
      <c r="G62" s="3">
        <v>155.51</v>
      </c>
      <c r="H62" t="s">
        <v>43</v>
      </c>
      <c r="I62" s="2">
        <f t="shared" si="0"/>
        <v>466.53</v>
      </c>
    </row>
    <row r="63" spans="1:9" x14ac:dyDescent="0.2">
      <c r="A63" s="1">
        <v>45381</v>
      </c>
      <c r="B63" t="s">
        <v>94</v>
      </c>
      <c r="C63" t="s">
        <v>232</v>
      </c>
      <c r="D63" t="s">
        <v>40</v>
      </c>
      <c r="E63" t="str" cm="1">
        <f t="array" ref="E63">_xlfn.XLOOKUP(D63,_xlfn.ANCHORARRAY('Item_ Master'!$A$2),'Item_ Master'!$B$2:$B$14,0,0)</f>
        <v>Household</v>
      </c>
      <c r="F63">
        <v>7</v>
      </c>
      <c r="G63" s="3">
        <v>351.37</v>
      </c>
      <c r="H63" t="s">
        <v>12</v>
      </c>
      <c r="I63" s="2">
        <f t="shared" si="0"/>
        <v>2459.59</v>
      </c>
    </row>
    <row r="64" spans="1:9" x14ac:dyDescent="0.2">
      <c r="A64" s="1">
        <v>45399</v>
      </c>
      <c r="B64" t="s">
        <v>95</v>
      </c>
      <c r="C64" t="s">
        <v>232</v>
      </c>
      <c r="D64" t="s">
        <v>49</v>
      </c>
      <c r="E64" t="str" cm="1">
        <f t="array" ref="E64">_xlfn.XLOOKUP(D64,_xlfn.ANCHORARRAY('Item_ Master'!$A$2),'Item_ Master'!$B$2:$B$14,0,0)</f>
        <v>Personal Care</v>
      </c>
      <c r="F64">
        <v>6</v>
      </c>
      <c r="G64" s="3">
        <v>305.74</v>
      </c>
      <c r="H64" t="s">
        <v>20</v>
      </c>
      <c r="I64" s="2">
        <f t="shared" si="0"/>
        <v>1834.44</v>
      </c>
    </row>
    <row r="65" spans="1:9" x14ac:dyDescent="0.2">
      <c r="A65" s="1">
        <v>45553</v>
      </c>
      <c r="B65" t="s">
        <v>96</v>
      </c>
      <c r="C65" t="s">
        <v>233</v>
      </c>
      <c r="D65" t="s">
        <v>71</v>
      </c>
      <c r="E65" t="str" cm="1">
        <f t="array" ref="E65">_xlfn.XLOOKUP(D65,_xlfn.ANCHORARRAY('Item_ Master'!$A$2),'Item_ Master'!$B$2:$B$14,0,0)</f>
        <v>Household</v>
      </c>
      <c r="F65">
        <v>2</v>
      </c>
      <c r="G65" s="3">
        <v>206.08</v>
      </c>
      <c r="H65" t="s">
        <v>43</v>
      </c>
      <c r="I65" s="2">
        <f t="shared" si="0"/>
        <v>412.16</v>
      </c>
    </row>
    <row r="66" spans="1:9" x14ac:dyDescent="0.2">
      <c r="A66" s="1">
        <v>45463</v>
      </c>
      <c r="B66" t="s">
        <v>85</v>
      </c>
      <c r="C66" t="s">
        <v>233</v>
      </c>
      <c r="D66" t="s">
        <v>71</v>
      </c>
      <c r="E66" t="str" cm="1">
        <f t="array" ref="E66">_xlfn.XLOOKUP(D66,_xlfn.ANCHORARRAY('Item_ Master'!$A$2),'Item_ Master'!$B$2:$B$14,0,0)</f>
        <v>Household</v>
      </c>
      <c r="F66">
        <v>5</v>
      </c>
      <c r="G66" s="3">
        <v>173.55</v>
      </c>
      <c r="H66" t="s">
        <v>12</v>
      </c>
      <c r="I66" s="2">
        <f t="shared" si="0"/>
        <v>867.75</v>
      </c>
    </row>
    <row r="67" spans="1:9" x14ac:dyDescent="0.2">
      <c r="A67" s="1">
        <v>45315</v>
      </c>
      <c r="B67" t="s">
        <v>98</v>
      </c>
      <c r="C67" t="s">
        <v>234</v>
      </c>
      <c r="D67" t="s">
        <v>49</v>
      </c>
      <c r="E67" t="str" cm="1">
        <f t="array" ref="E67">_xlfn.XLOOKUP(D67,_xlfn.ANCHORARRAY('Item_ Master'!$A$2),'Item_ Master'!$B$2:$B$14,0,0)</f>
        <v>Personal Care</v>
      </c>
      <c r="F67">
        <v>2</v>
      </c>
      <c r="G67" s="3">
        <v>300.48</v>
      </c>
      <c r="H67" t="s">
        <v>43</v>
      </c>
      <c r="I67" s="2">
        <f t="shared" ref="I67:I130" si="1">F67*G67</f>
        <v>600.96</v>
      </c>
    </row>
    <row r="68" spans="1:9" x14ac:dyDescent="0.2">
      <c r="A68" s="1">
        <v>45488</v>
      </c>
      <c r="B68" t="s">
        <v>99</v>
      </c>
      <c r="C68" t="s">
        <v>234</v>
      </c>
      <c r="D68" t="s">
        <v>40</v>
      </c>
      <c r="E68" t="str" cm="1">
        <f t="array" ref="E68">_xlfn.XLOOKUP(D68,_xlfn.ANCHORARRAY('Item_ Master'!$A$2),'Item_ Master'!$B$2:$B$14,0,0)</f>
        <v>Household</v>
      </c>
      <c r="F68">
        <v>3</v>
      </c>
      <c r="G68" s="3">
        <v>410.83</v>
      </c>
      <c r="H68" t="s">
        <v>12</v>
      </c>
      <c r="I68" s="2">
        <f t="shared" si="1"/>
        <v>1232.49</v>
      </c>
    </row>
    <row r="69" spans="1:9" x14ac:dyDescent="0.2">
      <c r="A69" s="1">
        <v>45346</v>
      </c>
      <c r="B69" t="s">
        <v>100</v>
      </c>
      <c r="C69" t="s">
        <v>234</v>
      </c>
      <c r="D69" t="s">
        <v>40</v>
      </c>
      <c r="E69" t="str" cm="1">
        <f t="array" ref="E69">_xlfn.XLOOKUP(D69,_xlfn.ANCHORARRAY('Item_ Master'!$A$2),'Item_ Master'!$B$2:$B$14,0,0)</f>
        <v>Household</v>
      </c>
      <c r="F69">
        <v>3</v>
      </c>
      <c r="G69" s="3">
        <v>492.26</v>
      </c>
      <c r="H69" t="s">
        <v>43</v>
      </c>
      <c r="I69" s="2">
        <f t="shared" si="1"/>
        <v>1476.78</v>
      </c>
    </row>
    <row r="70" spans="1:9" x14ac:dyDescent="0.2">
      <c r="A70" s="1">
        <v>45317</v>
      </c>
      <c r="B70" t="s">
        <v>101</v>
      </c>
      <c r="C70" t="s">
        <v>233</v>
      </c>
      <c r="D70" t="s">
        <v>52</v>
      </c>
      <c r="E70" t="str" cm="1">
        <f t="array" ref="E70">_xlfn.XLOOKUP(D70,_xlfn.ANCHORARRAY('Item_ Master'!$A$2),'Item_ Master'!$B$2:$B$14,0,0)</f>
        <v>Dairy</v>
      </c>
      <c r="F70">
        <v>8</v>
      </c>
      <c r="G70" s="3">
        <v>123.34</v>
      </c>
      <c r="H70" t="s">
        <v>20</v>
      </c>
      <c r="I70" s="2">
        <f t="shared" si="1"/>
        <v>986.72</v>
      </c>
    </row>
    <row r="71" spans="1:9" x14ac:dyDescent="0.2">
      <c r="A71" s="1">
        <v>45578</v>
      </c>
      <c r="B71" t="s">
        <v>102</v>
      </c>
      <c r="C71" t="s">
        <v>235</v>
      </c>
      <c r="D71" t="s">
        <v>62</v>
      </c>
      <c r="E71" t="str" cm="1">
        <f t="array" ref="E71">_xlfn.XLOOKUP(D71,_xlfn.ANCHORARRAY('Item_ Master'!$A$2),'Item_ Master'!$B$2:$B$14,0,0)</f>
        <v>Produce</v>
      </c>
      <c r="F71">
        <v>10</v>
      </c>
      <c r="G71" s="3">
        <v>498.25</v>
      </c>
      <c r="H71" t="s">
        <v>43</v>
      </c>
      <c r="I71" s="2">
        <f t="shared" si="1"/>
        <v>4982.5</v>
      </c>
    </row>
    <row r="72" spans="1:9" x14ac:dyDescent="0.2">
      <c r="A72" s="1">
        <v>45572</v>
      </c>
      <c r="B72" t="s">
        <v>103</v>
      </c>
      <c r="C72" t="s">
        <v>233</v>
      </c>
      <c r="D72" t="s">
        <v>10</v>
      </c>
      <c r="E72" t="str" cm="1">
        <f t="array" ref="E72">_xlfn.XLOOKUP(D72,_xlfn.ANCHORARRAY('Item_ Master'!$A$2),'Item_ Master'!$B$2:$B$14,0,0)</f>
        <v>Produce</v>
      </c>
      <c r="F72">
        <v>8</v>
      </c>
      <c r="G72" s="3">
        <v>297.54000000000002</v>
      </c>
      <c r="H72" t="s">
        <v>12</v>
      </c>
      <c r="I72" s="2">
        <f t="shared" si="1"/>
        <v>2380.3200000000002</v>
      </c>
    </row>
    <row r="73" spans="1:9" x14ac:dyDescent="0.2">
      <c r="A73" s="1">
        <v>45433</v>
      </c>
      <c r="B73" t="s">
        <v>104</v>
      </c>
      <c r="C73" t="s">
        <v>232</v>
      </c>
      <c r="D73" t="s">
        <v>62</v>
      </c>
      <c r="E73" t="str" cm="1">
        <f t="array" ref="E73">_xlfn.XLOOKUP(D73,_xlfn.ANCHORARRAY('Item_ Master'!$A$2),'Item_ Master'!$B$2:$B$14,0,0)</f>
        <v>Produce</v>
      </c>
      <c r="F73">
        <v>4</v>
      </c>
      <c r="G73" s="3">
        <v>201.03</v>
      </c>
      <c r="H73" t="s">
        <v>12</v>
      </c>
      <c r="I73" s="2">
        <f t="shared" si="1"/>
        <v>804.12</v>
      </c>
    </row>
    <row r="74" spans="1:9" x14ac:dyDescent="0.2">
      <c r="A74" s="1">
        <v>45412</v>
      </c>
      <c r="B74" t="s">
        <v>105</v>
      </c>
      <c r="C74" t="s">
        <v>235</v>
      </c>
      <c r="D74" t="s">
        <v>59</v>
      </c>
      <c r="E74" t="str" cm="1">
        <f t="array" ref="E74">_xlfn.XLOOKUP(D74,_xlfn.ANCHORARRAY('Item_ Master'!$A$2),'Item_ Master'!$B$2:$B$14,0,0)</f>
        <v>Produce</v>
      </c>
      <c r="F74">
        <v>9</v>
      </c>
      <c r="G74" s="3">
        <v>94.32</v>
      </c>
      <c r="H74" t="s">
        <v>12</v>
      </c>
      <c r="I74" s="2">
        <f t="shared" si="1"/>
        <v>848.87999999999988</v>
      </c>
    </row>
    <row r="75" spans="1:9" x14ac:dyDescent="0.2">
      <c r="A75" s="1">
        <v>45370</v>
      </c>
      <c r="B75" t="s">
        <v>106</v>
      </c>
      <c r="C75" t="s">
        <v>233</v>
      </c>
      <c r="D75" t="s">
        <v>52</v>
      </c>
      <c r="E75" t="str" cm="1">
        <f t="array" ref="E75">_xlfn.XLOOKUP(D75,_xlfn.ANCHORARRAY('Item_ Master'!$A$2),'Item_ Master'!$B$2:$B$14,0,0)</f>
        <v>Dairy</v>
      </c>
      <c r="F75">
        <v>7</v>
      </c>
      <c r="G75" s="3">
        <v>274.18</v>
      </c>
      <c r="H75" t="s">
        <v>43</v>
      </c>
      <c r="I75" s="2">
        <f t="shared" si="1"/>
        <v>1919.26</v>
      </c>
    </row>
    <row r="76" spans="1:9" x14ac:dyDescent="0.2">
      <c r="A76" s="1">
        <v>45323</v>
      </c>
      <c r="B76" t="s">
        <v>107</v>
      </c>
      <c r="C76" t="s">
        <v>234</v>
      </c>
      <c r="D76" t="s">
        <v>25</v>
      </c>
      <c r="E76" t="str" cm="1">
        <f t="array" ref="E76">_xlfn.XLOOKUP(D76,_xlfn.ANCHORARRAY('Item_ Master'!$A$2),'Item_ Master'!$B$2:$B$14,0,0)</f>
        <v>Grocery</v>
      </c>
      <c r="F76">
        <v>10</v>
      </c>
      <c r="G76" s="3">
        <v>570.33000000000004</v>
      </c>
      <c r="H76" t="s">
        <v>12</v>
      </c>
      <c r="I76" s="2">
        <f t="shared" si="1"/>
        <v>5703.3</v>
      </c>
    </row>
    <row r="77" spans="1:9" x14ac:dyDescent="0.2">
      <c r="A77" s="1">
        <v>45586</v>
      </c>
      <c r="B77" t="s">
        <v>73</v>
      </c>
      <c r="C77" t="s">
        <v>234</v>
      </c>
      <c r="D77" t="s">
        <v>52</v>
      </c>
      <c r="E77" t="str" cm="1">
        <f t="array" ref="E77">_xlfn.XLOOKUP(D77,_xlfn.ANCHORARRAY('Item_ Master'!$A$2),'Item_ Master'!$B$2:$B$14,0,0)</f>
        <v>Dairy</v>
      </c>
      <c r="F77">
        <v>6</v>
      </c>
      <c r="G77" s="3">
        <v>214.24</v>
      </c>
      <c r="H77" t="s">
        <v>20</v>
      </c>
      <c r="I77" s="2">
        <f t="shared" si="1"/>
        <v>1285.44</v>
      </c>
    </row>
    <row r="78" spans="1:9" x14ac:dyDescent="0.2">
      <c r="A78" s="1">
        <v>45506</v>
      </c>
      <c r="B78" t="s">
        <v>45</v>
      </c>
      <c r="C78" t="s">
        <v>232</v>
      </c>
      <c r="D78" t="s">
        <v>49</v>
      </c>
      <c r="E78" t="str" cm="1">
        <f t="array" ref="E78">_xlfn.XLOOKUP(D78,_xlfn.ANCHORARRAY('Item_ Master'!$A$2),'Item_ Master'!$B$2:$B$14,0,0)</f>
        <v>Personal Care</v>
      </c>
      <c r="F78">
        <v>4</v>
      </c>
      <c r="G78" s="3">
        <v>318.52999999999997</v>
      </c>
      <c r="H78" t="s">
        <v>20</v>
      </c>
      <c r="I78" s="2">
        <f t="shared" si="1"/>
        <v>1274.1199999999999</v>
      </c>
    </row>
    <row r="79" spans="1:9" x14ac:dyDescent="0.2">
      <c r="A79" s="1">
        <v>45306</v>
      </c>
      <c r="B79" t="s">
        <v>108</v>
      </c>
      <c r="C79" t="s">
        <v>235</v>
      </c>
      <c r="D79" t="s">
        <v>71</v>
      </c>
      <c r="E79" t="str" cm="1">
        <f t="array" ref="E79">_xlfn.XLOOKUP(D79,_xlfn.ANCHORARRAY('Item_ Master'!$A$2),'Item_ Master'!$B$2:$B$14,0,0)</f>
        <v>Household</v>
      </c>
      <c r="F79">
        <v>7</v>
      </c>
      <c r="G79" s="3">
        <v>448.3</v>
      </c>
      <c r="H79" t="s">
        <v>20</v>
      </c>
      <c r="I79" s="2">
        <f t="shared" si="1"/>
        <v>3138.1</v>
      </c>
    </row>
    <row r="80" spans="1:9" x14ac:dyDescent="0.2">
      <c r="A80" s="1">
        <v>45610</v>
      </c>
      <c r="B80" t="s">
        <v>109</v>
      </c>
      <c r="C80" t="s">
        <v>231</v>
      </c>
      <c r="D80" t="s">
        <v>25</v>
      </c>
      <c r="E80" t="str" cm="1">
        <f t="array" ref="E80">_xlfn.XLOOKUP(D80,_xlfn.ANCHORARRAY('Item_ Master'!$A$2),'Item_ Master'!$B$2:$B$14,0,0)</f>
        <v>Grocery</v>
      </c>
      <c r="F80">
        <v>10</v>
      </c>
      <c r="G80" s="3">
        <v>360.42</v>
      </c>
      <c r="H80" t="s">
        <v>12</v>
      </c>
      <c r="I80" s="2">
        <f t="shared" si="1"/>
        <v>3604.2000000000003</v>
      </c>
    </row>
    <row r="81" spans="1:9" x14ac:dyDescent="0.2">
      <c r="A81" s="1">
        <v>45511</v>
      </c>
      <c r="B81" t="s">
        <v>83</v>
      </c>
      <c r="C81" t="s">
        <v>234</v>
      </c>
      <c r="D81" t="s">
        <v>57</v>
      </c>
      <c r="E81" t="str" cm="1">
        <f t="array" ref="E81">_xlfn.XLOOKUP(D81,_xlfn.ANCHORARRAY('Item_ Master'!$A$2),'Item_ Master'!$B$2:$B$14,0,0)</f>
        <v>Bakery</v>
      </c>
      <c r="F81">
        <v>1</v>
      </c>
      <c r="G81" s="3">
        <v>193.09</v>
      </c>
      <c r="H81" t="s">
        <v>20</v>
      </c>
      <c r="I81" s="2">
        <f t="shared" si="1"/>
        <v>193.09</v>
      </c>
    </row>
    <row r="82" spans="1:9" x14ac:dyDescent="0.2">
      <c r="A82" s="1">
        <v>45459</v>
      </c>
      <c r="B82" t="s">
        <v>110</v>
      </c>
      <c r="C82" t="s">
        <v>234</v>
      </c>
      <c r="D82" t="s">
        <v>40</v>
      </c>
      <c r="E82" t="str" cm="1">
        <f t="array" ref="E82">_xlfn.XLOOKUP(D82,_xlfn.ANCHORARRAY('Item_ Master'!$A$2),'Item_ Master'!$B$2:$B$14,0,0)</f>
        <v>Household</v>
      </c>
      <c r="F82">
        <v>7</v>
      </c>
      <c r="G82" s="3">
        <v>188.75</v>
      </c>
      <c r="H82" t="s">
        <v>12</v>
      </c>
      <c r="I82" s="2">
        <f t="shared" si="1"/>
        <v>1321.25</v>
      </c>
    </row>
    <row r="83" spans="1:9" x14ac:dyDescent="0.2">
      <c r="A83" s="1">
        <v>45568</v>
      </c>
      <c r="B83" t="s">
        <v>111</v>
      </c>
      <c r="C83" t="s">
        <v>235</v>
      </c>
      <c r="D83" t="s">
        <v>40</v>
      </c>
      <c r="E83" t="str" cm="1">
        <f t="array" ref="E83">_xlfn.XLOOKUP(D83,_xlfn.ANCHORARRAY('Item_ Master'!$A$2),'Item_ Master'!$B$2:$B$14,0,0)</f>
        <v>Household</v>
      </c>
      <c r="F83">
        <v>2</v>
      </c>
      <c r="G83" s="3">
        <v>479.68</v>
      </c>
      <c r="H83" t="s">
        <v>43</v>
      </c>
      <c r="I83" s="2">
        <f t="shared" si="1"/>
        <v>959.36</v>
      </c>
    </row>
    <row r="84" spans="1:9" x14ac:dyDescent="0.2">
      <c r="A84" s="1">
        <v>45307</v>
      </c>
      <c r="B84" t="s">
        <v>112</v>
      </c>
      <c r="C84" t="s">
        <v>233</v>
      </c>
      <c r="D84" t="s">
        <v>52</v>
      </c>
      <c r="E84" t="str" cm="1">
        <f t="array" ref="E84">_xlfn.XLOOKUP(D84,_xlfn.ANCHORARRAY('Item_ Master'!$A$2),'Item_ Master'!$B$2:$B$14,0,0)</f>
        <v>Dairy</v>
      </c>
      <c r="F84">
        <v>10</v>
      </c>
      <c r="G84" s="3">
        <v>133.81</v>
      </c>
      <c r="H84" t="s">
        <v>12</v>
      </c>
      <c r="I84" s="2">
        <f t="shared" si="1"/>
        <v>1338.1</v>
      </c>
    </row>
    <row r="85" spans="1:9" x14ac:dyDescent="0.2">
      <c r="A85" s="1">
        <v>45350</v>
      </c>
      <c r="B85" t="s">
        <v>113</v>
      </c>
      <c r="C85" t="s">
        <v>233</v>
      </c>
      <c r="D85" t="s">
        <v>62</v>
      </c>
      <c r="E85" t="str" cm="1">
        <f t="array" ref="E85">_xlfn.XLOOKUP(D85,_xlfn.ANCHORARRAY('Item_ Master'!$A$2),'Item_ Master'!$B$2:$B$14,0,0)</f>
        <v>Produce</v>
      </c>
      <c r="F85">
        <v>5</v>
      </c>
      <c r="G85" s="3">
        <v>471.79</v>
      </c>
      <c r="H85" t="s">
        <v>12</v>
      </c>
      <c r="I85" s="2">
        <f t="shared" si="1"/>
        <v>2358.9500000000003</v>
      </c>
    </row>
    <row r="86" spans="1:9" x14ac:dyDescent="0.2">
      <c r="A86" s="1">
        <v>45350</v>
      </c>
      <c r="B86" t="s">
        <v>100</v>
      </c>
      <c r="C86" t="s">
        <v>233</v>
      </c>
      <c r="D86" t="s">
        <v>40</v>
      </c>
      <c r="E86" t="str" cm="1">
        <f t="array" ref="E86">_xlfn.XLOOKUP(D86,_xlfn.ANCHORARRAY('Item_ Master'!$A$2),'Item_ Master'!$B$2:$B$14,0,0)</f>
        <v>Household</v>
      </c>
      <c r="F86">
        <v>2</v>
      </c>
      <c r="G86" s="3">
        <v>368.28</v>
      </c>
      <c r="H86" t="s">
        <v>20</v>
      </c>
      <c r="I86" s="2">
        <f t="shared" si="1"/>
        <v>736.56</v>
      </c>
    </row>
    <row r="87" spans="1:9" x14ac:dyDescent="0.2">
      <c r="A87" s="1">
        <v>45484</v>
      </c>
      <c r="B87" t="s">
        <v>114</v>
      </c>
      <c r="C87" t="s">
        <v>233</v>
      </c>
      <c r="D87" t="s">
        <v>52</v>
      </c>
      <c r="E87" t="str" cm="1">
        <f t="array" ref="E87">_xlfn.XLOOKUP(D87,_xlfn.ANCHORARRAY('Item_ Master'!$A$2),'Item_ Master'!$B$2:$B$14,0,0)</f>
        <v>Dairy</v>
      </c>
      <c r="F87">
        <v>10</v>
      </c>
      <c r="G87" s="3">
        <v>429.84</v>
      </c>
      <c r="H87" t="s">
        <v>43</v>
      </c>
      <c r="I87" s="2">
        <f t="shared" si="1"/>
        <v>4298.3999999999996</v>
      </c>
    </row>
    <row r="88" spans="1:9" x14ac:dyDescent="0.2">
      <c r="A88" s="1">
        <v>45446</v>
      </c>
      <c r="B88" t="s">
        <v>115</v>
      </c>
      <c r="C88" t="s">
        <v>232</v>
      </c>
      <c r="D88" t="s">
        <v>52</v>
      </c>
      <c r="E88" t="str" cm="1">
        <f t="array" ref="E88">_xlfn.XLOOKUP(D88,_xlfn.ANCHORARRAY('Item_ Master'!$A$2),'Item_ Master'!$B$2:$B$14,0,0)</f>
        <v>Dairy</v>
      </c>
      <c r="F88">
        <v>10</v>
      </c>
      <c r="G88" s="3">
        <v>480.45</v>
      </c>
      <c r="H88" t="s">
        <v>20</v>
      </c>
      <c r="I88" s="2">
        <f t="shared" si="1"/>
        <v>4804.5</v>
      </c>
    </row>
    <row r="89" spans="1:9" x14ac:dyDescent="0.2">
      <c r="A89" s="1">
        <v>45481</v>
      </c>
      <c r="B89" t="s">
        <v>116</v>
      </c>
      <c r="C89" t="s">
        <v>232</v>
      </c>
      <c r="D89" t="s">
        <v>71</v>
      </c>
      <c r="E89" t="str" cm="1">
        <f t="array" ref="E89">_xlfn.XLOOKUP(D89,_xlfn.ANCHORARRAY('Item_ Master'!$A$2),'Item_ Master'!$B$2:$B$14,0,0)</f>
        <v>Household</v>
      </c>
      <c r="F89">
        <v>6</v>
      </c>
      <c r="G89" s="3">
        <v>56.96</v>
      </c>
      <c r="H89" t="s">
        <v>20</v>
      </c>
      <c r="I89" s="2">
        <f t="shared" si="1"/>
        <v>341.76</v>
      </c>
    </row>
    <row r="90" spans="1:9" x14ac:dyDescent="0.2">
      <c r="A90" s="1">
        <v>45346</v>
      </c>
      <c r="B90" t="s">
        <v>95</v>
      </c>
      <c r="C90" t="s">
        <v>235</v>
      </c>
      <c r="D90" t="s">
        <v>71</v>
      </c>
      <c r="E90" t="str" cm="1">
        <f t="array" ref="E90">_xlfn.XLOOKUP(D90,_xlfn.ANCHORARRAY('Item_ Master'!$A$2),'Item_ Master'!$B$2:$B$14,0,0)</f>
        <v>Household</v>
      </c>
      <c r="F90">
        <v>8</v>
      </c>
      <c r="G90" s="3">
        <v>439.02</v>
      </c>
      <c r="H90" t="s">
        <v>20</v>
      </c>
      <c r="I90" s="2">
        <f t="shared" si="1"/>
        <v>3512.16</v>
      </c>
    </row>
    <row r="91" spans="1:9" x14ac:dyDescent="0.2">
      <c r="A91" s="1">
        <v>45559</v>
      </c>
      <c r="B91" t="s">
        <v>117</v>
      </c>
      <c r="C91" t="s">
        <v>235</v>
      </c>
      <c r="D91" t="s">
        <v>49</v>
      </c>
      <c r="E91" t="str" cm="1">
        <f t="array" ref="E91">_xlfn.XLOOKUP(D91,_xlfn.ANCHORARRAY('Item_ Master'!$A$2),'Item_ Master'!$B$2:$B$14,0,0)</f>
        <v>Personal Care</v>
      </c>
      <c r="F91">
        <v>9</v>
      </c>
      <c r="G91" s="3">
        <v>476.05</v>
      </c>
      <c r="H91" t="s">
        <v>20</v>
      </c>
      <c r="I91" s="2">
        <f t="shared" si="1"/>
        <v>4284.45</v>
      </c>
    </row>
    <row r="92" spans="1:9" x14ac:dyDescent="0.2">
      <c r="A92" s="1">
        <v>45595</v>
      </c>
      <c r="B92" t="s">
        <v>89</v>
      </c>
      <c r="C92" t="s">
        <v>235</v>
      </c>
      <c r="D92" t="s">
        <v>40</v>
      </c>
      <c r="E92" t="str" cm="1">
        <f t="array" ref="E92">_xlfn.XLOOKUP(D92,_xlfn.ANCHORARRAY('Item_ Master'!$A$2),'Item_ Master'!$B$2:$B$14,0,0)</f>
        <v>Household</v>
      </c>
      <c r="F92">
        <v>2</v>
      </c>
      <c r="G92" s="3">
        <v>203.41</v>
      </c>
      <c r="H92" t="s">
        <v>20</v>
      </c>
      <c r="I92" s="2">
        <f t="shared" si="1"/>
        <v>406.82</v>
      </c>
    </row>
    <row r="93" spans="1:9" x14ac:dyDescent="0.2">
      <c r="A93" s="1">
        <v>45529</v>
      </c>
      <c r="B93" t="s">
        <v>118</v>
      </c>
      <c r="C93" t="s">
        <v>232</v>
      </c>
      <c r="D93" t="s">
        <v>71</v>
      </c>
      <c r="E93" t="str" cm="1">
        <f t="array" ref="E93">_xlfn.XLOOKUP(D93,_xlfn.ANCHORARRAY('Item_ Master'!$A$2),'Item_ Master'!$B$2:$B$14,0,0)</f>
        <v>Household</v>
      </c>
      <c r="F93">
        <v>7</v>
      </c>
      <c r="G93" s="3">
        <v>235.02</v>
      </c>
      <c r="H93" t="s">
        <v>20</v>
      </c>
      <c r="I93" s="2">
        <f t="shared" si="1"/>
        <v>1645.14</v>
      </c>
    </row>
    <row r="94" spans="1:9" x14ac:dyDescent="0.2">
      <c r="A94" s="1">
        <v>45385</v>
      </c>
      <c r="B94" t="s">
        <v>119</v>
      </c>
      <c r="C94" t="s">
        <v>233</v>
      </c>
      <c r="D94" t="s">
        <v>59</v>
      </c>
      <c r="E94" t="str" cm="1">
        <f t="array" ref="E94">_xlfn.XLOOKUP(D94,_xlfn.ANCHORARRAY('Item_ Master'!$A$2),'Item_ Master'!$B$2:$B$14,0,0)</f>
        <v>Produce</v>
      </c>
      <c r="F94">
        <v>5</v>
      </c>
      <c r="G94" s="3">
        <v>237.19</v>
      </c>
      <c r="H94" t="s">
        <v>43</v>
      </c>
      <c r="I94" s="2">
        <f t="shared" si="1"/>
        <v>1185.95</v>
      </c>
    </row>
    <row r="95" spans="1:9" x14ac:dyDescent="0.2">
      <c r="A95" s="1">
        <v>45433</v>
      </c>
      <c r="B95" t="s">
        <v>101</v>
      </c>
      <c r="C95" t="s">
        <v>231</v>
      </c>
      <c r="D95" t="s">
        <v>251</v>
      </c>
      <c r="E95" t="str" cm="1">
        <f t="array" ref="E95">_xlfn.XLOOKUP(D95,_xlfn.ANCHORARRAY('Item_ Master'!$A$2),'Item_ Master'!$B$2:$B$14,0,0)</f>
        <v>Household</v>
      </c>
      <c r="F95">
        <v>4</v>
      </c>
      <c r="G95" s="3">
        <v>97.09</v>
      </c>
      <c r="H95" t="s">
        <v>43</v>
      </c>
      <c r="I95" s="2">
        <f t="shared" si="1"/>
        <v>388.36</v>
      </c>
    </row>
    <row r="96" spans="1:9" x14ac:dyDescent="0.2">
      <c r="A96" s="1">
        <v>45576</v>
      </c>
      <c r="B96" t="s">
        <v>21</v>
      </c>
      <c r="C96" t="s">
        <v>233</v>
      </c>
      <c r="D96" t="s">
        <v>23</v>
      </c>
      <c r="E96" t="str" cm="1">
        <f t="array" ref="E96">_xlfn.XLOOKUP(D96,_xlfn.ANCHORARRAY('Item_ Master'!$A$2),'Item_ Master'!$B$2:$B$14,0,0)</f>
        <v>Produce</v>
      </c>
      <c r="F96">
        <v>8</v>
      </c>
      <c r="G96" s="3">
        <v>405.25</v>
      </c>
      <c r="H96" t="s">
        <v>20</v>
      </c>
      <c r="I96" s="2">
        <f t="shared" si="1"/>
        <v>3242</v>
      </c>
    </row>
    <row r="97" spans="1:9" x14ac:dyDescent="0.2">
      <c r="A97" s="1">
        <v>45300</v>
      </c>
      <c r="B97" t="s">
        <v>85</v>
      </c>
      <c r="C97" t="s">
        <v>235</v>
      </c>
      <c r="D97" t="s">
        <v>40</v>
      </c>
      <c r="E97" t="str" cm="1">
        <f t="array" ref="E97">_xlfn.XLOOKUP(D97,_xlfn.ANCHORARRAY('Item_ Master'!$A$2),'Item_ Master'!$B$2:$B$14,0,0)</f>
        <v>Household</v>
      </c>
      <c r="F97">
        <v>7</v>
      </c>
      <c r="G97" s="3">
        <v>430.48</v>
      </c>
      <c r="H97" t="s">
        <v>20</v>
      </c>
      <c r="I97" s="2">
        <f t="shared" si="1"/>
        <v>3013.36</v>
      </c>
    </row>
    <row r="98" spans="1:9" x14ac:dyDescent="0.2">
      <c r="A98" s="1">
        <v>45480</v>
      </c>
      <c r="B98" t="s">
        <v>96</v>
      </c>
      <c r="C98" t="s">
        <v>232</v>
      </c>
      <c r="D98" t="s">
        <v>251</v>
      </c>
      <c r="E98" t="str" cm="1">
        <f t="array" ref="E98">_xlfn.XLOOKUP(D98,_xlfn.ANCHORARRAY('Item_ Master'!$A$2),'Item_ Master'!$B$2:$B$14,0,0)</f>
        <v>Household</v>
      </c>
      <c r="F98">
        <v>6</v>
      </c>
      <c r="G98" s="3">
        <v>284.02999999999997</v>
      </c>
      <c r="H98" t="s">
        <v>43</v>
      </c>
      <c r="I98" s="2">
        <f t="shared" si="1"/>
        <v>1704.1799999999998</v>
      </c>
    </row>
    <row r="99" spans="1:9" x14ac:dyDescent="0.2">
      <c r="A99" s="1">
        <v>45472</v>
      </c>
      <c r="B99" t="s">
        <v>120</v>
      </c>
      <c r="C99" t="s">
        <v>234</v>
      </c>
      <c r="D99" t="s">
        <v>40</v>
      </c>
      <c r="E99" t="str" cm="1">
        <f t="array" ref="E99">_xlfn.XLOOKUP(D99,_xlfn.ANCHORARRAY('Item_ Master'!$A$2),'Item_ Master'!$B$2:$B$14,0,0)</f>
        <v>Household</v>
      </c>
      <c r="F99">
        <v>5</v>
      </c>
      <c r="G99" s="3">
        <v>188.27</v>
      </c>
      <c r="H99" t="s">
        <v>12</v>
      </c>
      <c r="I99" s="2">
        <f t="shared" si="1"/>
        <v>941.35</v>
      </c>
    </row>
    <row r="100" spans="1:9" x14ac:dyDescent="0.2">
      <c r="A100" s="1">
        <v>45453</v>
      </c>
      <c r="B100" t="s">
        <v>121</v>
      </c>
      <c r="C100" t="s">
        <v>232</v>
      </c>
      <c r="D100" t="s">
        <v>23</v>
      </c>
      <c r="E100" t="str" cm="1">
        <f t="array" ref="E100">_xlfn.XLOOKUP(D100,_xlfn.ANCHORARRAY('Item_ Master'!$A$2),'Item_ Master'!$B$2:$B$14,0,0)</f>
        <v>Produce</v>
      </c>
      <c r="F100">
        <v>3</v>
      </c>
      <c r="G100" s="3">
        <v>155.35</v>
      </c>
      <c r="H100" t="s">
        <v>43</v>
      </c>
      <c r="I100" s="2">
        <f t="shared" si="1"/>
        <v>466.04999999999995</v>
      </c>
    </row>
    <row r="101" spans="1:9" x14ac:dyDescent="0.2">
      <c r="A101" s="1">
        <v>45593</v>
      </c>
      <c r="B101" t="s">
        <v>21</v>
      </c>
      <c r="C101" t="s">
        <v>232</v>
      </c>
      <c r="D101" t="s">
        <v>49</v>
      </c>
      <c r="E101" t="str" cm="1">
        <f t="array" ref="E101">_xlfn.XLOOKUP(D101,_xlfn.ANCHORARRAY('Item_ Master'!$A$2),'Item_ Master'!$B$2:$B$14,0,0)</f>
        <v>Personal Care</v>
      </c>
      <c r="F101">
        <v>5</v>
      </c>
      <c r="G101" s="3">
        <v>589.28</v>
      </c>
      <c r="H101" t="s">
        <v>12</v>
      </c>
      <c r="I101" s="2">
        <f t="shared" si="1"/>
        <v>2946.3999999999996</v>
      </c>
    </row>
    <row r="102" spans="1:9" x14ac:dyDescent="0.2">
      <c r="A102" s="1">
        <v>45476</v>
      </c>
      <c r="B102" t="s">
        <v>122</v>
      </c>
      <c r="C102" t="s">
        <v>235</v>
      </c>
      <c r="D102" t="s">
        <v>52</v>
      </c>
      <c r="E102" t="str" cm="1">
        <f t="array" ref="E102">_xlfn.XLOOKUP(D102,_xlfn.ANCHORARRAY('Item_ Master'!$A$2),'Item_ Master'!$B$2:$B$14,0,0)</f>
        <v>Dairy</v>
      </c>
      <c r="F102">
        <v>9</v>
      </c>
      <c r="G102" s="3">
        <v>119.62</v>
      </c>
      <c r="H102" t="s">
        <v>12</v>
      </c>
      <c r="I102" s="2">
        <f t="shared" si="1"/>
        <v>1076.58</v>
      </c>
    </row>
    <row r="103" spans="1:9" x14ac:dyDescent="0.2">
      <c r="A103" s="1">
        <v>45575</v>
      </c>
      <c r="B103" t="s">
        <v>123</v>
      </c>
      <c r="C103" t="s">
        <v>233</v>
      </c>
      <c r="D103" t="s">
        <v>71</v>
      </c>
      <c r="E103" t="str" cm="1">
        <f t="array" ref="E103">_xlfn.XLOOKUP(D103,_xlfn.ANCHORARRAY('Item_ Master'!$A$2),'Item_ Master'!$B$2:$B$14,0,0)</f>
        <v>Household</v>
      </c>
      <c r="F103">
        <v>8</v>
      </c>
      <c r="G103" s="3">
        <v>106.42</v>
      </c>
      <c r="H103" t="s">
        <v>12</v>
      </c>
      <c r="I103" s="2">
        <f t="shared" si="1"/>
        <v>851.36</v>
      </c>
    </row>
    <row r="104" spans="1:9" x14ac:dyDescent="0.2">
      <c r="A104" s="1">
        <v>45532</v>
      </c>
      <c r="B104" t="s">
        <v>124</v>
      </c>
      <c r="C104" t="s">
        <v>234</v>
      </c>
      <c r="D104" t="s">
        <v>59</v>
      </c>
      <c r="E104" t="str" cm="1">
        <f t="array" ref="E104">_xlfn.XLOOKUP(D104,_xlfn.ANCHORARRAY('Item_ Master'!$A$2),'Item_ Master'!$B$2:$B$14,0,0)</f>
        <v>Produce</v>
      </c>
      <c r="F104">
        <v>3</v>
      </c>
      <c r="G104" s="3">
        <v>581.02</v>
      </c>
      <c r="H104" t="s">
        <v>20</v>
      </c>
      <c r="I104" s="2">
        <f t="shared" si="1"/>
        <v>1743.06</v>
      </c>
    </row>
    <row r="105" spans="1:9" x14ac:dyDescent="0.2">
      <c r="A105" s="1">
        <v>45536</v>
      </c>
      <c r="B105" t="s">
        <v>92</v>
      </c>
      <c r="C105" t="s">
        <v>231</v>
      </c>
      <c r="D105" t="s">
        <v>25</v>
      </c>
      <c r="E105" t="str" cm="1">
        <f t="array" ref="E105">_xlfn.XLOOKUP(D105,_xlfn.ANCHORARRAY('Item_ Master'!$A$2),'Item_ Master'!$B$2:$B$14,0,0)</f>
        <v>Grocery</v>
      </c>
      <c r="F105">
        <v>8</v>
      </c>
      <c r="G105" s="3">
        <v>90.75</v>
      </c>
      <c r="H105" t="s">
        <v>43</v>
      </c>
      <c r="I105" s="2">
        <f t="shared" si="1"/>
        <v>726</v>
      </c>
    </row>
    <row r="106" spans="1:9" x14ac:dyDescent="0.2">
      <c r="A106" s="1">
        <v>45369</v>
      </c>
      <c r="B106" t="s">
        <v>125</v>
      </c>
      <c r="C106" t="s">
        <v>232</v>
      </c>
      <c r="D106" t="s">
        <v>40</v>
      </c>
      <c r="E106" t="str" cm="1">
        <f t="array" ref="E106">_xlfn.XLOOKUP(D106,_xlfn.ANCHORARRAY('Item_ Master'!$A$2),'Item_ Master'!$B$2:$B$14,0,0)</f>
        <v>Household</v>
      </c>
      <c r="F106">
        <v>2</v>
      </c>
      <c r="G106" s="3">
        <v>596.65</v>
      </c>
      <c r="H106" t="s">
        <v>12</v>
      </c>
      <c r="I106" s="2">
        <f t="shared" si="1"/>
        <v>1193.3</v>
      </c>
    </row>
    <row r="107" spans="1:9" x14ac:dyDescent="0.2">
      <c r="A107" s="1">
        <v>45505</v>
      </c>
      <c r="B107" t="s">
        <v>37</v>
      </c>
      <c r="C107" t="s">
        <v>232</v>
      </c>
      <c r="D107" t="s">
        <v>49</v>
      </c>
      <c r="E107" t="str" cm="1">
        <f t="array" ref="E107">_xlfn.XLOOKUP(D107,_xlfn.ANCHORARRAY('Item_ Master'!$A$2),'Item_ Master'!$B$2:$B$14,0,0)</f>
        <v>Personal Care</v>
      </c>
      <c r="F107">
        <v>4</v>
      </c>
      <c r="G107" s="3">
        <v>476.63</v>
      </c>
      <c r="H107" t="s">
        <v>20</v>
      </c>
      <c r="I107" s="2">
        <f t="shared" si="1"/>
        <v>1906.52</v>
      </c>
    </row>
    <row r="108" spans="1:9" x14ac:dyDescent="0.2">
      <c r="A108" s="1">
        <v>45518</v>
      </c>
      <c r="B108" t="s">
        <v>126</v>
      </c>
      <c r="C108" t="s">
        <v>232</v>
      </c>
      <c r="D108" t="s">
        <v>25</v>
      </c>
      <c r="E108" t="str" cm="1">
        <f t="array" ref="E108">_xlfn.XLOOKUP(D108,_xlfn.ANCHORARRAY('Item_ Master'!$A$2),'Item_ Master'!$B$2:$B$14,0,0)</f>
        <v>Grocery</v>
      </c>
      <c r="F108">
        <v>5</v>
      </c>
      <c r="G108" s="3">
        <v>362.75</v>
      </c>
      <c r="H108" t="s">
        <v>12</v>
      </c>
      <c r="I108" s="2">
        <f t="shared" si="1"/>
        <v>1813.75</v>
      </c>
    </row>
    <row r="109" spans="1:9" x14ac:dyDescent="0.2">
      <c r="A109" s="1">
        <v>45342</v>
      </c>
      <c r="B109" t="s">
        <v>127</v>
      </c>
      <c r="C109" t="s">
        <v>233</v>
      </c>
      <c r="D109" t="s">
        <v>71</v>
      </c>
      <c r="E109" t="str" cm="1">
        <f t="array" ref="E109">_xlfn.XLOOKUP(D109,_xlfn.ANCHORARRAY('Item_ Master'!$A$2),'Item_ Master'!$B$2:$B$14,0,0)</f>
        <v>Household</v>
      </c>
      <c r="F109">
        <v>4</v>
      </c>
      <c r="G109" s="3">
        <v>195.56</v>
      </c>
      <c r="H109" t="s">
        <v>12</v>
      </c>
      <c r="I109" s="2">
        <f t="shared" si="1"/>
        <v>782.24</v>
      </c>
    </row>
    <row r="110" spans="1:9" x14ac:dyDescent="0.2">
      <c r="A110" s="1">
        <v>45380</v>
      </c>
      <c r="B110" t="s">
        <v>128</v>
      </c>
      <c r="C110" t="s">
        <v>231</v>
      </c>
      <c r="D110" t="s">
        <v>57</v>
      </c>
      <c r="E110" t="str" cm="1">
        <f t="array" ref="E110">_xlfn.XLOOKUP(D110,_xlfn.ANCHORARRAY('Item_ Master'!$A$2),'Item_ Master'!$B$2:$B$14,0,0)</f>
        <v>Bakery</v>
      </c>
      <c r="F110">
        <v>1</v>
      </c>
      <c r="G110" s="3">
        <v>274.68</v>
      </c>
      <c r="H110" t="s">
        <v>43</v>
      </c>
      <c r="I110" s="2">
        <f t="shared" si="1"/>
        <v>274.68</v>
      </c>
    </row>
    <row r="111" spans="1:9" x14ac:dyDescent="0.2">
      <c r="A111" s="1">
        <v>45441</v>
      </c>
      <c r="B111" t="s">
        <v>129</v>
      </c>
      <c r="C111" t="s">
        <v>233</v>
      </c>
      <c r="D111" t="s">
        <v>40</v>
      </c>
      <c r="E111" t="str" cm="1">
        <f t="array" ref="E111">_xlfn.XLOOKUP(D111,_xlfn.ANCHORARRAY('Item_ Master'!$A$2),'Item_ Master'!$B$2:$B$14,0,0)</f>
        <v>Household</v>
      </c>
      <c r="F111">
        <v>5</v>
      </c>
      <c r="G111" s="3">
        <v>436.64</v>
      </c>
      <c r="H111" t="s">
        <v>20</v>
      </c>
      <c r="I111" s="2">
        <f t="shared" si="1"/>
        <v>2183.1999999999998</v>
      </c>
    </row>
    <row r="112" spans="1:9" x14ac:dyDescent="0.2">
      <c r="A112" s="1">
        <v>45411</v>
      </c>
      <c r="B112" t="s">
        <v>81</v>
      </c>
      <c r="C112" t="s">
        <v>232</v>
      </c>
      <c r="D112" t="s">
        <v>71</v>
      </c>
      <c r="E112" t="str" cm="1">
        <f t="array" ref="E112">_xlfn.XLOOKUP(D112,_xlfn.ANCHORARRAY('Item_ Master'!$A$2),'Item_ Master'!$B$2:$B$14,0,0)</f>
        <v>Household</v>
      </c>
      <c r="F112">
        <v>4</v>
      </c>
      <c r="G112" s="3">
        <v>283.83</v>
      </c>
      <c r="H112" t="s">
        <v>43</v>
      </c>
      <c r="I112" s="2">
        <f t="shared" si="1"/>
        <v>1135.32</v>
      </c>
    </row>
    <row r="113" spans="1:9" x14ac:dyDescent="0.2">
      <c r="A113" s="1">
        <v>45368</v>
      </c>
      <c r="B113" t="s">
        <v>89</v>
      </c>
      <c r="C113" t="s">
        <v>233</v>
      </c>
      <c r="D113" t="s">
        <v>52</v>
      </c>
      <c r="E113" t="str" cm="1">
        <f t="array" ref="E113">_xlfn.XLOOKUP(D113,_xlfn.ANCHORARRAY('Item_ Master'!$A$2),'Item_ Master'!$B$2:$B$14,0,0)</f>
        <v>Dairy</v>
      </c>
      <c r="F113">
        <v>1</v>
      </c>
      <c r="G113" s="3">
        <v>141.26</v>
      </c>
      <c r="H113" t="s">
        <v>20</v>
      </c>
      <c r="I113" s="2">
        <f t="shared" si="1"/>
        <v>141.26</v>
      </c>
    </row>
    <row r="114" spans="1:9" x14ac:dyDescent="0.2">
      <c r="A114" s="1">
        <v>45583</v>
      </c>
      <c r="B114" t="s">
        <v>130</v>
      </c>
      <c r="C114" t="s">
        <v>234</v>
      </c>
      <c r="D114" t="s">
        <v>52</v>
      </c>
      <c r="E114" t="str" cm="1">
        <f t="array" ref="E114">_xlfn.XLOOKUP(D114,_xlfn.ANCHORARRAY('Item_ Master'!$A$2),'Item_ Master'!$B$2:$B$14,0,0)</f>
        <v>Dairy</v>
      </c>
      <c r="F114">
        <v>8</v>
      </c>
      <c r="G114" s="3">
        <v>428.77</v>
      </c>
      <c r="H114" t="s">
        <v>43</v>
      </c>
      <c r="I114" s="2">
        <f t="shared" si="1"/>
        <v>3430.16</v>
      </c>
    </row>
    <row r="115" spans="1:9" x14ac:dyDescent="0.2">
      <c r="A115" s="1">
        <v>45431</v>
      </c>
      <c r="B115" t="s">
        <v>55</v>
      </c>
      <c r="C115" t="s">
        <v>232</v>
      </c>
      <c r="D115" t="s">
        <v>62</v>
      </c>
      <c r="E115" t="str" cm="1">
        <f t="array" ref="E115">_xlfn.XLOOKUP(D115,_xlfn.ANCHORARRAY('Item_ Master'!$A$2),'Item_ Master'!$B$2:$B$14,0,0)</f>
        <v>Produce</v>
      </c>
      <c r="F115">
        <v>8</v>
      </c>
      <c r="G115" s="3">
        <v>94.24</v>
      </c>
      <c r="H115" t="s">
        <v>12</v>
      </c>
      <c r="I115" s="2">
        <f t="shared" si="1"/>
        <v>753.92</v>
      </c>
    </row>
    <row r="116" spans="1:9" x14ac:dyDescent="0.2">
      <c r="A116" s="1">
        <v>45457</v>
      </c>
      <c r="B116" t="s">
        <v>131</v>
      </c>
      <c r="C116" t="s">
        <v>235</v>
      </c>
      <c r="D116" t="s">
        <v>52</v>
      </c>
      <c r="E116" t="str" cm="1">
        <f t="array" ref="E116">_xlfn.XLOOKUP(D116,_xlfn.ANCHORARRAY('Item_ Master'!$A$2),'Item_ Master'!$B$2:$B$14,0,0)</f>
        <v>Dairy</v>
      </c>
      <c r="F116">
        <v>2</v>
      </c>
      <c r="G116" s="3">
        <v>175.91</v>
      </c>
      <c r="H116" t="s">
        <v>43</v>
      </c>
      <c r="I116" s="2">
        <f t="shared" si="1"/>
        <v>351.82</v>
      </c>
    </row>
    <row r="117" spans="1:9" x14ac:dyDescent="0.2">
      <c r="A117" s="1">
        <v>45586</v>
      </c>
      <c r="B117" t="s">
        <v>132</v>
      </c>
      <c r="C117" t="s">
        <v>231</v>
      </c>
      <c r="D117" t="s">
        <v>71</v>
      </c>
      <c r="E117" t="str" cm="1">
        <f t="array" ref="E117">_xlfn.XLOOKUP(D117,_xlfn.ANCHORARRAY('Item_ Master'!$A$2),'Item_ Master'!$B$2:$B$14,0,0)</f>
        <v>Household</v>
      </c>
      <c r="F117">
        <v>5</v>
      </c>
      <c r="G117" s="3">
        <v>366.94</v>
      </c>
      <c r="H117" t="s">
        <v>12</v>
      </c>
      <c r="I117" s="2">
        <f t="shared" si="1"/>
        <v>1834.7</v>
      </c>
    </row>
    <row r="118" spans="1:9" x14ac:dyDescent="0.2">
      <c r="A118" s="1">
        <v>45518</v>
      </c>
      <c r="B118" t="s">
        <v>133</v>
      </c>
      <c r="C118" t="s">
        <v>233</v>
      </c>
      <c r="D118" t="s">
        <v>78</v>
      </c>
      <c r="E118" t="str" cm="1">
        <f t="array" ref="E118">_xlfn.XLOOKUP(D118,_xlfn.ANCHORARRAY('Item_ Master'!$A$2),'Item_ Master'!$B$2:$B$14,0,0)</f>
        <v>Personal Care</v>
      </c>
      <c r="F118">
        <v>7</v>
      </c>
      <c r="G118" s="3">
        <v>399.13</v>
      </c>
      <c r="H118" t="s">
        <v>20</v>
      </c>
      <c r="I118" s="2">
        <f t="shared" si="1"/>
        <v>2793.91</v>
      </c>
    </row>
    <row r="119" spans="1:9" x14ac:dyDescent="0.2">
      <c r="A119" s="1">
        <v>45532</v>
      </c>
      <c r="B119" t="s">
        <v>134</v>
      </c>
      <c r="C119" t="s">
        <v>234</v>
      </c>
      <c r="D119" t="s">
        <v>59</v>
      </c>
      <c r="E119" t="str" cm="1">
        <f t="array" ref="E119">_xlfn.XLOOKUP(D119,_xlfn.ANCHORARRAY('Item_ Master'!$A$2),'Item_ Master'!$B$2:$B$14,0,0)</f>
        <v>Produce</v>
      </c>
      <c r="F119">
        <v>6</v>
      </c>
      <c r="G119" s="3">
        <v>418.57</v>
      </c>
      <c r="H119" t="s">
        <v>12</v>
      </c>
      <c r="I119" s="2">
        <f t="shared" si="1"/>
        <v>2511.42</v>
      </c>
    </row>
    <row r="120" spans="1:9" x14ac:dyDescent="0.2">
      <c r="A120" s="1">
        <v>45545</v>
      </c>
      <c r="B120" t="s">
        <v>130</v>
      </c>
      <c r="C120" t="s">
        <v>234</v>
      </c>
      <c r="D120" t="s">
        <v>28</v>
      </c>
      <c r="E120" t="str" cm="1">
        <f t="array" ref="E120">_xlfn.XLOOKUP(D120,_xlfn.ANCHORARRAY('Item_ Master'!$A$2),'Item_ Master'!$B$2:$B$14,0,0)</f>
        <v>Household</v>
      </c>
      <c r="F120">
        <v>1</v>
      </c>
      <c r="G120" s="3">
        <v>300.14999999999998</v>
      </c>
      <c r="H120" t="s">
        <v>20</v>
      </c>
      <c r="I120" s="2">
        <f t="shared" si="1"/>
        <v>300.14999999999998</v>
      </c>
    </row>
    <row r="121" spans="1:9" x14ac:dyDescent="0.2">
      <c r="A121" s="1">
        <v>45351</v>
      </c>
      <c r="B121" t="s">
        <v>32</v>
      </c>
      <c r="C121" t="s">
        <v>234</v>
      </c>
      <c r="D121" t="s">
        <v>251</v>
      </c>
      <c r="E121" t="str" cm="1">
        <f t="array" ref="E121">_xlfn.XLOOKUP(D121,_xlfn.ANCHORARRAY('Item_ Master'!$A$2),'Item_ Master'!$B$2:$B$14,0,0)</f>
        <v>Household</v>
      </c>
      <c r="F121">
        <v>1</v>
      </c>
      <c r="G121" s="3">
        <v>411.71</v>
      </c>
      <c r="H121" t="s">
        <v>43</v>
      </c>
      <c r="I121" s="2">
        <f t="shared" si="1"/>
        <v>411.71</v>
      </c>
    </row>
    <row r="122" spans="1:9" x14ac:dyDescent="0.2">
      <c r="A122" s="1">
        <v>45319</v>
      </c>
      <c r="B122" t="s">
        <v>135</v>
      </c>
      <c r="C122" t="s">
        <v>232</v>
      </c>
      <c r="D122" t="s">
        <v>59</v>
      </c>
      <c r="E122" t="str" cm="1">
        <f t="array" ref="E122">_xlfn.XLOOKUP(D122,_xlfn.ANCHORARRAY('Item_ Master'!$A$2),'Item_ Master'!$B$2:$B$14,0,0)</f>
        <v>Produce</v>
      </c>
      <c r="F122">
        <v>10</v>
      </c>
      <c r="G122" s="3">
        <v>466.04</v>
      </c>
      <c r="H122" t="s">
        <v>43</v>
      </c>
      <c r="I122" s="2">
        <f t="shared" si="1"/>
        <v>4660.4000000000005</v>
      </c>
    </row>
    <row r="123" spans="1:9" x14ac:dyDescent="0.2">
      <c r="A123" s="1">
        <v>45318</v>
      </c>
      <c r="B123" t="s">
        <v>107</v>
      </c>
      <c r="C123" t="s">
        <v>235</v>
      </c>
      <c r="D123" t="s">
        <v>28</v>
      </c>
      <c r="E123" t="str" cm="1">
        <f t="array" ref="E123">_xlfn.XLOOKUP(D123,_xlfn.ANCHORARRAY('Item_ Master'!$A$2),'Item_ Master'!$B$2:$B$14,0,0)</f>
        <v>Household</v>
      </c>
      <c r="F123">
        <v>3</v>
      </c>
      <c r="G123" s="3">
        <v>560.22</v>
      </c>
      <c r="H123" t="s">
        <v>20</v>
      </c>
      <c r="I123" s="2">
        <f t="shared" si="1"/>
        <v>1680.66</v>
      </c>
    </row>
    <row r="124" spans="1:9" x14ac:dyDescent="0.2">
      <c r="A124" s="1">
        <v>45540</v>
      </c>
      <c r="B124" t="s">
        <v>136</v>
      </c>
      <c r="C124" t="s">
        <v>231</v>
      </c>
      <c r="D124" t="s">
        <v>71</v>
      </c>
      <c r="E124" t="str" cm="1">
        <f t="array" ref="E124">_xlfn.XLOOKUP(D124,_xlfn.ANCHORARRAY('Item_ Master'!$A$2),'Item_ Master'!$B$2:$B$14,0,0)</f>
        <v>Household</v>
      </c>
      <c r="F124">
        <v>10</v>
      </c>
      <c r="G124" s="3">
        <v>489.62</v>
      </c>
      <c r="H124" t="s">
        <v>43</v>
      </c>
      <c r="I124" s="2">
        <f t="shared" si="1"/>
        <v>4896.2</v>
      </c>
    </row>
    <row r="125" spans="1:9" x14ac:dyDescent="0.2">
      <c r="A125" s="1">
        <v>45574</v>
      </c>
      <c r="B125" t="s">
        <v>137</v>
      </c>
      <c r="C125" t="s">
        <v>232</v>
      </c>
      <c r="D125" t="s">
        <v>25</v>
      </c>
      <c r="E125" t="str" cm="1">
        <f t="array" ref="E125">_xlfn.XLOOKUP(D125,_xlfn.ANCHORARRAY('Item_ Master'!$A$2),'Item_ Master'!$B$2:$B$14,0,0)</f>
        <v>Grocery</v>
      </c>
      <c r="F125">
        <v>2</v>
      </c>
      <c r="G125" s="3">
        <v>173.59</v>
      </c>
      <c r="H125" t="s">
        <v>12</v>
      </c>
      <c r="I125" s="2">
        <f t="shared" si="1"/>
        <v>347.18</v>
      </c>
    </row>
    <row r="126" spans="1:9" x14ac:dyDescent="0.2">
      <c r="A126" s="1">
        <v>45352</v>
      </c>
      <c r="B126" t="s">
        <v>138</v>
      </c>
      <c r="C126" t="s">
        <v>233</v>
      </c>
      <c r="D126" t="s">
        <v>62</v>
      </c>
      <c r="E126" t="str" cm="1">
        <f t="array" ref="E126">_xlfn.XLOOKUP(D126,_xlfn.ANCHORARRAY('Item_ Master'!$A$2),'Item_ Master'!$B$2:$B$14,0,0)</f>
        <v>Produce</v>
      </c>
      <c r="F126">
        <v>5</v>
      </c>
      <c r="G126" s="3">
        <v>329.88</v>
      </c>
      <c r="H126" t="s">
        <v>20</v>
      </c>
      <c r="I126" s="2">
        <f t="shared" si="1"/>
        <v>1649.4</v>
      </c>
    </row>
    <row r="127" spans="1:9" x14ac:dyDescent="0.2">
      <c r="A127" s="1">
        <v>45539</v>
      </c>
      <c r="B127" t="s">
        <v>139</v>
      </c>
      <c r="C127" t="s">
        <v>233</v>
      </c>
      <c r="D127" t="s">
        <v>62</v>
      </c>
      <c r="E127" t="str" cm="1">
        <f t="array" ref="E127">_xlfn.XLOOKUP(D127,_xlfn.ANCHORARRAY('Item_ Master'!$A$2),'Item_ Master'!$B$2:$B$14,0,0)</f>
        <v>Produce</v>
      </c>
      <c r="F127">
        <v>9</v>
      </c>
      <c r="G127" s="3">
        <v>129.55000000000001</v>
      </c>
      <c r="H127" t="s">
        <v>12</v>
      </c>
      <c r="I127" s="2">
        <f t="shared" si="1"/>
        <v>1165.95</v>
      </c>
    </row>
    <row r="128" spans="1:9" x14ac:dyDescent="0.2">
      <c r="A128" s="1">
        <v>45552</v>
      </c>
      <c r="B128" t="s">
        <v>140</v>
      </c>
      <c r="C128" t="s">
        <v>233</v>
      </c>
      <c r="D128" t="s">
        <v>52</v>
      </c>
      <c r="E128" t="str" cm="1">
        <f t="array" ref="E128">_xlfn.XLOOKUP(D128,_xlfn.ANCHORARRAY('Item_ Master'!$A$2),'Item_ Master'!$B$2:$B$14,0,0)</f>
        <v>Dairy</v>
      </c>
      <c r="F128">
        <v>5</v>
      </c>
      <c r="G128" s="3">
        <v>474.97</v>
      </c>
      <c r="H128" t="s">
        <v>20</v>
      </c>
      <c r="I128" s="2">
        <f t="shared" si="1"/>
        <v>2374.8500000000004</v>
      </c>
    </row>
    <row r="129" spans="1:9" x14ac:dyDescent="0.2">
      <c r="A129" s="1">
        <v>45551</v>
      </c>
      <c r="B129" t="s">
        <v>89</v>
      </c>
      <c r="C129" t="s">
        <v>231</v>
      </c>
      <c r="D129" t="s">
        <v>40</v>
      </c>
      <c r="E129" t="str" cm="1">
        <f t="array" ref="E129">_xlfn.XLOOKUP(D129,_xlfn.ANCHORARRAY('Item_ Master'!$A$2),'Item_ Master'!$B$2:$B$14,0,0)</f>
        <v>Household</v>
      </c>
      <c r="F129">
        <v>5</v>
      </c>
      <c r="G129" s="3">
        <v>510.61</v>
      </c>
      <c r="H129" t="s">
        <v>43</v>
      </c>
      <c r="I129" s="2">
        <f t="shared" si="1"/>
        <v>2553.0500000000002</v>
      </c>
    </row>
    <row r="130" spans="1:9" x14ac:dyDescent="0.2">
      <c r="A130" s="1">
        <v>45542</v>
      </c>
      <c r="B130" t="s">
        <v>125</v>
      </c>
      <c r="C130" t="s">
        <v>234</v>
      </c>
      <c r="D130" t="s">
        <v>28</v>
      </c>
      <c r="E130" t="str" cm="1">
        <f t="array" ref="E130">_xlfn.XLOOKUP(D130,_xlfn.ANCHORARRAY('Item_ Master'!$A$2),'Item_ Master'!$B$2:$B$14,0,0)</f>
        <v>Household</v>
      </c>
      <c r="F130">
        <v>8</v>
      </c>
      <c r="G130" s="3">
        <v>239.82</v>
      </c>
      <c r="H130" t="s">
        <v>43</v>
      </c>
      <c r="I130" s="2">
        <f t="shared" si="1"/>
        <v>1918.56</v>
      </c>
    </row>
    <row r="131" spans="1:9" x14ac:dyDescent="0.2">
      <c r="A131" s="1">
        <v>45485</v>
      </c>
      <c r="B131" t="s">
        <v>141</v>
      </c>
      <c r="C131" t="s">
        <v>235</v>
      </c>
      <c r="D131" t="s">
        <v>57</v>
      </c>
      <c r="E131" t="str" cm="1">
        <f t="array" ref="E131">_xlfn.XLOOKUP(D131,_xlfn.ANCHORARRAY('Item_ Master'!$A$2),'Item_ Master'!$B$2:$B$14,0,0)</f>
        <v>Bakery</v>
      </c>
      <c r="F131">
        <v>4</v>
      </c>
      <c r="G131" s="3">
        <v>364.49</v>
      </c>
      <c r="H131" t="s">
        <v>12</v>
      </c>
      <c r="I131" s="2">
        <f t="shared" ref="I131:I194" si="2">F131*G131</f>
        <v>1457.96</v>
      </c>
    </row>
    <row r="132" spans="1:9" x14ac:dyDescent="0.2">
      <c r="A132" s="1">
        <v>45502</v>
      </c>
      <c r="B132" t="s">
        <v>142</v>
      </c>
      <c r="C132" t="s">
        <v>235</v>
      </c>
      <c r="D132" t="s">
        <v>10</v>
      </c>
      <c r="E132" t="str" cm="1">
        <f t="array" ref="E132">_xlfn.XLOOKUP(D132,_xlfn.ANCHORARRAY('Item_ Master'!$A$2),'Item_ Master'!$B$2:$B$14,0,0)</f>
        <v>Produce</v>
      </c>
      <c r="F132">
        <v>8</v>
      </c>
      <c r="G132" s="3">
        <v>437.88</v>
      </c>
      <c r="H132" t="s">
        <v>20</v>
      </c>
      <c r="I132" s="2">
        <f t="shared" si="2"/>
        <v>3503.04</v>
      </c>
    </row>
    <row r="133" spans="1:9" x14ac:dyDescent="0.2">
      <c r="A133" s="1">
        <v>45369</v>
      </c>
      <c r="B133" t="s">
        <v>99</v>
      </c>
      <c r="C133" t="s">
        <v>231</v>
      </c>
      <c r="D133" t="s">
        <v>57</v>
      </c>
      <c r="E133" t="str" cm="1">
        <f t="array" ref="E133">_xlfn.XLOOKUP(D133,_xlfn.ANCHORARRAY('Item_ Master'!$A$2),'Item_ Master'!$B$2:$B$14,0,0)</f>
        <v>Bakery</v>
      </c>
      <c r="F133">
        <v>9</v>
      </c>
      <c r="G133" s="3">
        <v>580.94000000000005</v>
      </c>
      <c r="H133" t="s">
        <v>20</v>
      </c>
      <c r="I133" s="2">
        <f t="shared" si="2"/>
        <v>5228.4600000000009</v>
      </c>
    </row>
    <row r="134" spans="1:9" x14ac:dyDescent="0.2">
      <c r="A134" s="1">
        <v>45517</v>
      </c>
      <c r="B134" t="s">
        <v>70</v>
      </c>
      <c r="C134" t="s">
        <v>232</v>
      </c>
      <c r="D134" t="s">
        <v>62</v>
      </c>
      <c r="E134" t="str" cm="1">
        <f t="array" ref="E134">_xlfn.XLOOKUP(D134,_xlfn.ANCHORARRAY('Item_ Master'!$A$2),'Item_ Master'!$B$2:$B$14,0,0)</f>
        <v>Produce</v>
      </c>
      <c r="F134">
        <v>1</v>
      </c>
      <c r="G134" s="3">
        <v>447.34</v>
      </c>
      <c r="H134" t="s">
        <v>20</v>
      </c>
      <c r="I134" s="2">
        <f t="shared" si="2"/>
        <v>447.34</v>
      </c>
    </row>
    <row r="135" spans="1:9" x14ac:dyDescent="0.2">
      <c r="A135" s="1">
        <v>45371</v>
      </c>
      <c r="B135" t="s">
        <v>143</v>
      </c>
      <c r="C135" t="s">
        <v>234</v>
      </c>
      <c r="D135" t="s">
        <v>40</v>
      </c>
      <c r="E135" t="str" cm="1">
        <f t="array" ref="E135">_xlfn.XLOOKUP(D135,_xlfn.ANCHORARRAY('Item_ Master'!$A$2),'Item_ Master'!$B$2:$B$14,0,0)</f>
        <v>Household</v>
      </c>
      <c r="F135">
        <v>6</v>
      </c>
      <c r="G135" s="3">
        <v>392.79</v>
      </c>
      <c r="H135" t="s">
        <v>20</v>
      </c>
      <c r="I135" s="2">
        <f t="shared" si="2"/>
        <v>2356.7400000000002</v>
      </c>
    </row>
    <row r="136" spans="1:9" x14ac:dyDescent="0.2">
      <c r="A136" s="1">
        <v>45460</v>
      </c>
      <c r="B136" t="s">
        <v>144</v>
      </c>
      <c r="C136" t="s">
        <v>232</v>
      </c>
      <c r="D136" t="s">
        <v>25</v>
      </c>
      <c r="E136" t="str" cm="1">
        <f t="array" ref="E136">_xlfn.XLOOKUP(D136,_xlfn.ANCHORARRAY('Item_ Master'!$A$2),'Item_ Master'!$B$2:$B$14,0,0)</f>
        <v>Grocery</v>
      </c>
      <c r="F136">
        <v>6</v>
      </c>
      <c r="G136" s="3">
        <v>394.74</v>
      </c>
      <c r="H136" t="s">
        <v>20</v>
      </c>
      <c r="I136" s="2">
        <f t="shared" si="2"/>
        <v>2368.44</v>
      </c>
    </row>
    <row r="137" spans="1:9" x14ac:dyDescent="0.2">
      <c r="A137" s="1">
        <v>45310</v>
      </c>
      <c r="B137" t="s">
        <v>145</v>
      </c>
      <c r="C137" t="s">
        <v>231</v>
      </c>
      <c r="D137" t="s">
        <v>40</v>
      </c>
      <c r="E137" t="str" cm="1">
        <f t="array" ref="E137">_xlfn.XLOOKUP(D137,_xlfn.ANCHORARRAY('Item_ Master'!$A$2),'Item_ Master'!$B$2:$B$14,0,0)</f>
        <v>Household</v>
      </c>
      <c r="F137">
        <v>5</v>
      </c>
      <c r="G137" s="3">
        <v>598.58000000000004</v>
      </c>
      <c r="H137" t="s">
        <v>43</v>
      </c>
      <c r="I137" s="2">
        <f t="shared" si="2"/>
        <v>2992.9</v>
      </c>
    </row>
    <row r="138" spans="1:9" x14ac:dyDescent="0.2">
      <c r="A138" s="1">
        <v>45342</v>
      </c>
      <c r="B138" t="s">
        <v>21</v>
      </c>
      <c r="C138" t="s">
        <v>231</v>
      </c>
      <c r="D138" t="s">
        <v>62</v>
      </c>
      <c r="E138" t="str" cm="1">
        <f t="array" ref="E138">_xlfn.XLOOKUP(D138,_xlfn.ANCHORARRAY('Item_ Master'!$A$2),'Item_ Master'!$B$2:$B$14,0,0)</f>
        <v>Produce</v>
      </c>
      <c r="F138">
        <v>3</v>
      </c>
      <c r="G138" s="3">
        <v>431.7</v>
      </c>
      <c r="H138" t="s">
        <v>12</v>
      </c>
      <c r="I138" s="2">
        <f t="shared" si="2"/>
        <v>1295.0999999999999</v>
      </c>
    </row>
    <row r="139" spans="1:9" x14ac:dyDescent="0.2">
      <c r="A139" s="1">
        <v>45320</v>
      </c>
      <c r="B139" t="s">
        <v>146</v>
      </c>
      <c r="C139" t="s">
        <v>235</v>
      </c>
      <c r="D139" t="s">
        <v>59</v>
      </c>
      <c r="E139" t="str" cm="1">
        <f t="array" ref="E139">_xlfn.XLOOKUP(D139,_xlfn.ANCHORARRAY('Item_ Master'!$A$2),'Item_ Master'!$B$2:$B$14,0,0)</f>
        <v>Produce</v>
      </c>
      <c r="F139">
        <v>7</v>
      </c>
      <c r="G139" s="3">
        <v>130.06</v>
      </c>
      <c r="H139" t="s">
        <v>43</v>
      </c>
      <c r="I139" s="2">
        <f t="shared" si="2"/>
        <v>910.42000000000007</v>
      </c>
    </row>
    <row r="140" spans="1:9" x14ac:dyDescent="0.2">
      <c r="A140" s="1">
        <v>45384</v>
      </c>
      <c r="B140" t="s">
        <v>147</v>
      </c>
      <c r="C140" t="s">
        <v>233</v>
      </c>
      <c r="D140" t="s">
        <v>52</v>
      </c>
      <c r="E140" t="str" cm="1">
        <f t="array" ref="E140">_xlfn.XLOOKUP(D140,_xlfn.ANCHORARRAY('Item_ Master'!$A$2),'Item_ Master'!$B$2:$B$14,0,0)</f>
        <v>Dairy</v>
      </c>
      <c r="F140">
        <v>10</v>
      </c>
      <c r="G140" s="3">
        <v>528.96</v>
      </c>
      <c r="H140" t="s">
        <v>43</v>
      </c>
      <c r="I140" s="2">
        <f t="shared" si="2"/>
        <v>5289.6</v>
      </c>
    </row>
    <row r="141" spans="1:9" x14ac:dyDescent="0.2">
      <c r="A141" s="1">
        <v>45546</v>
      </c>
      <c r="B141" t="s">
        <v>148</v>
      </c>
      <c r="C141" t="s">
        <v>233</v>
      </c>
      <c r="D141" t="s">
        <v>40</v>
      </c>
      <c r="E141" t="str" cm="1">
        <f t="array" ref="E141">_xlfn.XLOOKUP(D141,_xlfn.ANCHORARRAY('Item_ Master'!$A$2),'Item_ Master'!$B$2:$B$14,0,0)</f>
        <v>Household</v>
      </c>
      <c r="F141">
        <v>8</v>
      </c>
      <c r="G141" s="3">
        <v>400.85</v>
      </c>
      <c r="H141" t="s">
        <v>20</v>
      </c>
      <c r="I141" s="2">
        <f t="shared" si="2"/>
        <v>3206.8</v>
      </c>
    </row>
    <row r="142" spans="1:9" x14ac:dyDescent="0.2">
      <c r="A142" s="1">
        <v>45296</v>
      </c>
      <c r="B142" t="s">
        <v>149</v>
      </c>
      <c r="C142" t="s">
        <v>235</v>
      </c>
      <c r="D142" t="s">
        <v>71</v>
      </c>
      <c r="E142" t="str" cm="1">
        <f t="array" ref="E142">_xlfn.XLOOKUP(D142,_xlfn.ANCHORARRAY('Item_ Master'!$A$2),'Item_ Master'!$B$2:$B$14,0,0)</f>
        <v>Household</v>
      </c>
      <c r="F142">
        <v>9</v>
      </c>
      <c r="G142" s="3">
        <v>136.88999999999999</v>
      </c>
      <c r="H142" t="s">
        <v>20</v>
      </c>
      <c r="I142" s="2">
        <f t="shared" si="2"/>
        <v>1232.0099999999998</v>
      </c>
    </row>
    <row r="143" spans="1:9" x14ac:dyDescent="0.2">
      <c r="A143" s="1">
        <v>45592</v>
      </c>
      <c r="B143" t="s">
        <v>126</v>
      </c>
      <c r="C143" t="s">
        <v>234</v>
      </c>
      <c r="D143" t="s">
        <v>23</v>
      </c>
      <c r="E143" t="str" cm="1">
        <f t="array" ref="E143">_xlfn.XLOOKUP(D143,_xlfn.ANCHORARRAY('Item_ Master'!$A$2),'Item_ Master'!$B$2:$B$14,0,0)</f>
        <v>Produce</v>
      </c>
      <c r="F143">
        <v>5</v>
      </c>
      <c r="G143" s="3">
        <v>301.26</v>
      </c>
      <c r="H143" t="s">
        <v>20</v>
      </c>
      <c r="I143" s="2">
        <f t="shared" si="2"/>
        <v>1506.3</v>
      </c>
    </row>
    <row r="144" spans="1:9" x14ac:dyDescent="0.2">
      <c r="A144" s="1">
        <v>45488</v>
      </c>
      <c r="B144" t="s">
        <v>150</v>
      </c>
      <c r="C144" t="s">
        <v>231</v>
      </c>
      <c r="D144" t="s">
        <v>40</v>
      </c>
      <c r="E144" t="str" cm="1">
        <f t="array" ref="E144">_xlfn.XLOOKUP(D144,_xlfn.ANCHORARRAY('Item_ Master'!$A$2),'Item_ Master'!$B$2:$B$14,0,0)</f>
        <v>Household</v>
      </c>
      <c r="F144">
        <v>7</v>
      </c>
      <c r="G144" s="3">
        <v>364.56</v>
      </c>
      <c r="H144" t="s">
        <v>43</v>
      </c>
      <c r="I144" s="2">
        <f t="shared" si="2"/>
        <v>2551.92</v>
      </c>
    </row>
    <row r="145" spans="1:9" x14ac:dyDescent="0.2">
      <c r="A145" s="1">
        <v>45443</v>
      </c>
      <c r="B145" t="s">
        <v>63</v>
      </c>
      <c r="C145" t="s">
        <v>234</v>
      </c>
      <c r="D145" t="s">
        <v>40</v>
      </c>
      <c r="E145" t="str" cm="1">
        <f t="array" ref="E145">_xlfn.XLOOKUP(D145,_xlfn.ANCHORARRAY('Item_ Master'!$A$2),'Item_ Master'!$B$2:$B$14,0,0)</f>
        <v>Household</v>
      </c>
      <c r="F145">
        <v>1</v>
      </c>
      <c r="G145" s="3">
        <v>361.26</v>
      </c>
      <c r="H145" t="s">
        <v>43</v>
      </c>
      <c r="I145" s="2">
        <f t="shared" si="2"/>
        <v>361.26</v>
      </c>
    </row>
    <row r="146" spans="1:9" x14ac:dyDescent="0.2">
      <c r="A146" s="1">
        <v>45317</v>
      </c>
      <c r="B146" t="s">
        <v>37</v>
      </c>
      <c r="C146" t="s">
        <v>234</v>
      </c>
      <c r="D146" t="s">
        <v>40</v>
      </c>
      <c r="E146" t="str" cm="1">
        <f t="array" ref="E146">_xlfn.XLOOKUP(D146,_xlfn.ANCHORARRAY('Item_ Master'!$A$2),'Item_ Master'!$B$2:$B$14,0,0)</f>
        <v>Household</v>
      </c>
      <c r="F146">
        <v>4</v>
      </c>
      <c r="G146" s="3">
        <v>383.89</v>
      </c>
      <c r="H146" t="s">
        <v>20</v>
      </c>
      <c r="I146" s="2">
        <f t="shared" si="2"/>
        <v>1535.56</v>
      </c>
    </row>
    <row r="147" spans="1:9" x14ac:dyDescent="0.2">
      <c r="A147" s="1">
        <v>45389</v>
      </c>
      <c r="B147" t="s">
        <v>145</v>
      </c>
      <c r="C147" t="s">
        <v>235</v>
      </c>
      <c r="D147" t="s">
        <v>71</v>
      </c>
      <c r="E147" t="str" cm="1">
        <f t="array" ref="E147">_xlfn.XLOOKUP(D147,_xlfn.ANCHORARRAY('Item_ Master'!$A$2),'Item_ Master'!$B$2:$B$14,0,0)</f>
        <v>Household</v>
      </c>
      <c r="F147">
        <v>3</v>
      </c>
      <c r="G147" s="3">
        <v>395.54</v>
      </c>
      <c r="H147" t="s">
        <v>43</v>
      </c>
      <c r="I147" s="2">
        <f t="shared" si="2"/>
        <v>1186.6200000000001</v>
      </c>
    </row>
    <row r="148" spans="1:9" x14ac:dyDescent="0.2">
      <c r="A148" s="1">
        <v>45450</v>
      </c>
      <c r="B148" t="s">
        <v>151</v>
      </c>
      <c r="C148" t="s">
        <v>231</v>
      </c>
      <c r="D148" t="s">
        <v>78</v>
      </c>
      <c r="E148" t="str" cm="1">
        <f t="array" ref="E148">_xlfn.XLOOKUP(D148,_xlfn.ANCHORARRAY('Item_ Master'!$A$2),'Item_ Master'!$B$2:$B$14,0,0)</f>
        <v>Personal Care</v>
      </c>
      <c r="F148">
        <v>6</v>
      </c>
      <c r="G148" s="3">
        <v>452.8</v>
      </c>
      <c r="H148" t="s">
        <v>12</v>
      </c>
      <c r="I148" s="2">
        <f t="shared" si="2"/>
        <v>2716.8</v>
      </c>
    </row>
    <row r="149" spans="1:9" x14ac:dyDescent="0.2">
      <c r="A149" s="1">
        <v>45459</v>
      </c>
      <c r="B149" t="s">
        <v>140</v>
      </c>
      <c r="C149" t="s">
        <v>234</v>
      </c>
      <c r="D149" t="s">
        <v>57</v>
      </c>
      <c r="E149" t="str" cm="1">
        <f t="array" ref="E149">_xlfn.XLOOKUP(D149,_xlfn.ANCHORARRAY('Item_ Master'!$A$2),'Item_ Master'!$B$2:$B$14,0,0)</f>
        <v>Bakery</v>
      </c>
      <c r="F149">
        <v>4</v>
      </c>
      <c r="G149" s="3">
        <v>122.69</v>
      </c>
      <c r="H149" t="s">
        <v>43</v>
      </c>
      <c r="I149" s="2">
        <f t="shared" si="2"/>
        <v>490.76</v>
      </c>
    </row>
    <row r="150" spans="1:9" x14ac:dyDescent="0.2">
      <c r="A150" s="1">
        <v>45479</v>
      </c>
      <c r="B150" t="s">
        <v>152</v>
      </c>
      <c r="C150" t="s">
        <v>232</v>
      </c>
      <c r="D150" t="s">
        <v>40</v>
      </c>
      <c r="E150" t="str" cm="1">
        <f t="array" ref="E150">_xlfn.XLOOKUP(D150,_xlfn.ANCHORARRAY('Item_ Master'!$A$2),'Item_ Master'!$B$2:$B$14,0,0)</f>
        <v>Household</v>
      </c>
      <c r="F150">
        <v>3</v>
      </c>
      <c r="G150" s="3">
        <v>191.33</v>
      </c>
      <c r="H150" t="s">
        <v>20</v>
      </c>
      <c r="I150" s="2">
        <f t="shared" si="2"/>
        <v>573.99</v>
      </c>
    </row>
    <row r="151" spans="1:9" x14ac:dyDescent="0.2">
      <c r="A151" s="1">
        <v>45443</v>
      </c>
      <c r="B151" t="s">
        <v>140</v>
      </c>
      <c r="C151" t="s">
        <v>235</v>
      </c>
      <c r="D151" t="s">
        <v>52</v>
      </c>
      <c r="E151" t="str" cm="1">
        <f t="array" ref="E151">_xlfn.XLOOKUP(D151,_xlfn.ANCHORARRAY('Item_ Master'!$A$2),'Item_ Master'!$B$2:$B$14,0,0)</f>
        <v>Dairy</v>
      </c>
      <c r="F151">
        <v>8</v>
      </c>
      <c r="G151" s="3">
        <v>579.59</v>
      </c>
      <c r="H151" t="s">
        <v>12</v>
      </c>
      <c r="I151" s="2">
        <f t="shared" si="2"/>
        <v>4636.72</v>
      </c>
    </row>
    <row r="152" spans="1:9" x14ac:dyDescent="0.2">
      <c r="A152" s="1">
        <v>45407</v>
      </c>
      <c r="B152" t="s">
        <v>153</v>
      </c>
      <c r="C152" t="s">
        <v>234</v>
      </c>
      <c r="D152" t="s">
        <v>28</v>
      </c>
      <c r="E152" t="str" cm="1">
        <f t="array" ref="E152">_xlfn.XLOOKUP(D152,_xlfn.ANCHORARRAY('Item_ Master'!$A$2),'Item_ Master'!$B$2:$B$14,0,0)</f>
        <v>Household</v>
      </c>
      <c r="F152">
        <v>6</v>
      </c>
      <c r="G152" s="3">
        <v>99.67</v>
      </c>
      <c r="H152" t="s">
        <v>20</v>
      </c>
      <c r="I152" s="2">
        <f t="shared" si="2"/>
        <v>598.02</v>
      </c>
    </row>
    <row r="153" spans="1:9" x14ac:dyDescent="0.2">
      <c r="A153" s="1">
        <v>45566</v>
      </c>
      <c r="B153" t="s">
        <v>136</v>
      </c>
      <c r="C153" t="s">
        <v>234</v>
      </c>
      <c r="D153" t="s">
        <v>59</v>
      </c>
      <c r="E153" t="str" cm="1">
        <f t="array" ref="E153">_xlfn.XLOOKUP(D153,_xlfn.ANCHORARRAY('Item_ Master'!$A$2),'Item_ Master'!$B$2:$B$14,0,0)</f>
        <v>Produce</v>
      </c>
      <c r="F153">
        <v>5</v>
      </c>
      <c r="G153" s="3">
        <v>371.51</v>
      </c>
      <c r="H153" t="s">
        <v>43</v>
      </c>
      <c r="I153" s="2">
        <f t="shared" si="2"/>
        <v>1857.55</v>
      </c>
    </row>
    <row r="154" spans="1:9" x14ac:dyDescent="0.2">
      <c r="A154" s="1">
        <v>45347</v>
      </c>
      <c r="B154" t="s">
        <v>144</v>
      </c>
      <c r="C154" t="s">
        <v>233</v>
      </c>
      <c r="D154" t="s">
        <v>62</v>
      </c>
      <c r="E154" t="str" cm="1">
        <f t="array" ref="E154">_xlfn.XLOOKUP(D154,_xlfn.ANCHORARRAY('Item_ Master'!$A$2),'Item_ Master'!$B$2:$B$14,0,0)</f>
        <v>Produce</v>
      </c>
      <c r="F154">
        <v>1</v>
      </c>
      <c r="G154" s="3">
        <v>390.75</v>
      </c>
      <c r="H154" t="s">
        <v>43</v>
      </c>
      <c r="I154" s="2">
        <f t="shared" si="2"/>
        <v>390.75</v>
      </c>
    </row>
    <row r="155" spans="1:9" x14ac:dyDescent="0.2">
      <c r="A155" s="1">
        <v>45604</v>
      </c>
      <c r="B155" t="s">
        <v>154</v>
      </c>
      <c r="C155" t="s">
        <v>231</v>
      </c>
      <c r="D155" t="s">
        <v>71</v>
      </c>
      <c r="E155" t="str" cm="1">
        <f t="array" ref="E155">_xlfn.XLOOKUP(D155,_xlfn.ANCHORARRAY('Item_ Master'!$A$2),'Item_ Master'!$B$2:$B$14,0,0)</f>
        <v>Household</v>
      </c>
      <c r="F155">
        <v>8</v>
      </c>
      <c r="G155" s="3">
        <v>550.16</v>
      </c>
      <c r="H155" t="s">
        <v>20</v>
      </c>
      <c r="I155" s="2">
        <f t="shared" si="2"/>
        <v>4401.28</v>
      </c>
    </row>
    <row r="156" spans="1:9" x14ac:dyDescent="0.2">
      <c r="A156" s="1">
        <v>45351</v>
      </c>
      <c r="B156" t="s">
        <v>46</v>
      </c>
      <c r="C156" t="s">
        <v>231</v>
      </c>
      <c r="D156" t="s">
        <v>52</v>
      </c>
      <c r="E156" t="str" cm="1">
        <f t="array" ref="E156">_xlfn.XLOOKUP(D156,_xlfn.ANCHORARRAY('Item_ Master'!$A$2),'Item_ Master'!$B$2:$B$14,0,0)</f>
        <v>Dairy</v>
      </c>
      <c r="F156">
        <v>5</v>
      </c>
      <c r="G156" s="3">
        <v>597.76</v>
      </c>
      <c r="H156" t="s">
        <v>12</v>
      </c>
      <c r="I156" s="2">
        <f t="shared" si="2"/>
        <v>2988.8</v>
      </c>
    </row>
    <row r="157" spans="1:9" x14ac:dyDescent="0.2">
      <c r="A157" s="1">
        <v>45567</v>
      </c>
      <c r="B157" t="s">
        <v>83</v>
      </c>
      <c r="C157" t="s">
        <v>234</v>
      </c>
      <c r="D157" t="s">
        <v>62</v>
      </c>
      <c r="E157" t="str" cm="1">
        <f t="array" ref="E157">_xlfn.XLOOKUP(D157,_xlfn.ANCHORARRAY('Item_ Master'!$A$2),'Item_ Master'!$B$2:$B$14,0,0)</f>
        <v>Produce</v>
      </c>
      <c r="F157">
        <v>6</v>
      </c>
      <c r="G157" s="3">
        <v>418.77</v>
      </c>
      <c r="H157" t="s">
        <v>43</v>
      </c>
      <c r="I157" s="2">
        <f t="shared" si="2"/>
        <v>2512.62</v>
      </c>
    </row>
    <row r="158" spans="1:9" x14ac:dyDescent="0.2">
      <c r="A158" s="1">
        <v>45568</v>
      </c>
      <c r="B158" t="s">
        <v>155</v>
      </c>
      <c r="C158" t="s">
        <v>232</v>
      </c>
      <c r="D158" t="s">
        <v>10</v>
      </c>
      <c r="E158" t="str" cm="1">
        <f t="array" ref="E158">_xlfn.XLOOKUP(D158,_xlfn.ANCHORARRAY('Item_ Master'!$A$2),'Item_ Master'!$B$2:$B$14,0,0)</f>
        <v>Produce</v>
      </c>
      <c r="F158">
        <v>3</v>
      </c>
      <c r="G158" s="3">
        <v>536.98</v>
      </c>
      <c r="H158" t="s">
        <v>43</v>
      </c>
      <c r="I158" s="2">
        <f t="shared" si="2"/>
        <v>1610.94</v>
      </c>
    </row>
    <row r="159" spans="1:9" x14ac:dyDescent="0.2">
      <c r="A159" s="1">
        <v>45542</v>
      </c>
      <c r="B159" t="s">
        <v>94</v>
      </c>
      <c r="C159" t="s">
        <v>234</v>
      </c>
      <c r="D159" t="s">
        <v>40</v>
      </c>
      <c r="E159" t="str" cm="1">
        <f t="array" ref="E159">_xlfn.XLOOKUP(D159,_xlfn.ANCHORARRAY('Item_ Master'!$A$2),'Item_ Master'!$B$2:$B$14,0,0)</f>
        <v>Household</v>
      </c>
      <c r="F159">
        <v>1</v>
      </c>
      <c r="G159" s="3">
        <v>429.65</v>
      </c>
      <c r="H159" t="s">
        <v>12</v>
      </c>
      <c r="I159" s="2">
        <f t="shared" si="2"/>
        <v>429.65</v>
      </c>
    </row>
    <row r="160" spans="1:9" x14ac:dyDescent="0.2">
      <c r="A160" s="1">
        <v>45412</v>
      </c>
      <c r="B160" t="s">
        <v>156</v>
      </c>
      <c r="C160" t="s">
        <v>231</v>
      </c>
      <c r="D160" t="s">
        <v>71</v>
      </c>
      <c r="E160" t="str" cm="1">
        <f t="array" ref="E160">_xlfn.XLOOKUP(D160,_xlfn.ANCHORARRAY('Item_ Master'!$A$2),'Item_ Master'!$B$2:$B$14,0,0)</f>
        <v>Household</v>
      </c>
      <c r="F160">
        <v>6</v>
      </c>
      <c r="G160" s="3">
        <v>349.46</v>
      </c>
      <c r="H160" t="s">
        <v>43</v>
      </c>
      <c r="I160" s="2">
        <f t="shared" si="2"/>
        <v>2096.7599999999998</v>
      </c>
    </row>
    <row r="161" spans="1:9" x14ac:dyDescent="0.2">
      <c r="A161" s="1">
        <v>45495</v>
      </c>
      <c r="B161" t="s">
        <v>157</v>
      </c>
      <c r="C161" t="s">
        <v>233</v>
      </c>
      <c r="D161" t="s">
        <v>52</v>
      </c>
      <c r="E161" t="str" cm="1">
        <f t="array" ref="E161">_xlfn.XLOOKUP(D161,_xlfn.ANCHORARRAY('Item_ Master'!$A$2),'Item_ Master'!$B$2:$B$14,0,0)</f>
        <v>Dairy</v>
      </c>
      <c r="F161">
        <v>8</v>
      </c>
      <c r="G161" s="3">
        <v>100.42</v>
      </c>
      <c r="H161" t="s">
        <v>12</v>
      </c>
      <c r="I161" s="2">
        <f t="shared" si="2"/>
        <v>803.36</v>
      </c>
    </row>
    <row r="162" spans="1:9" x14ac:dyDescent="0.2">
      <c r="A162" s="1">
        <v>45597</v>
      </c>
      <c r="B162" t="s">
        <v>63</v>
      </c>
      <c r="C162" t="s">
        <v>231</v>
      </c>
      <c r="D162" t="s">
        <v>59</v>
      </c>
      <c r="E162" t="str" cm="1">
        <f t="array" ref="E162">_xlfn.XLOOKUP(D162,_xlfn.ANCHORARRAY('Item_ Master'!$A$2),'Item_ Master'!$B$2:$B$14,0,0)</f>
        <v>Produce</v>
      </c>
      <c r="F162">
        <v>4</v>
      </c>
      <c r="G162" s="3">
        <v>593.85</v>
      </c>
      <c r="H162" t="s">
        <v>43</v>
      </c>
      <c r="I162" s="2">
        <f t="shared" si="2"/>
        <v>2375.4</v>
      </c>
    </row>
    <row r="163" spans="1:9" x14ac:dyDescent="0.2">
      <c r="A163" s="1">
        <v>45575</v>
      </c>
      <c r="B163" t="s">
        <v>84</v>
      </c>
      <c r="C163" t="s">
        <v>232</v>
      </c>
      <c r="D163" t="s">
        <v>57</v>
      </c>
      <c r="E163" t="str" cm="1">
        <f t="array" ref="E163">_xlfn.XLOOKUP(D163,_xlfn.ANCHORARRAY('Item_ Master'!$A$2),'Item_ Master'!$B$2:$B$14,0,0)</f>
        <v>Bakery</v>
      </c>
      <c r="F163">
        <v>4</v>
      </c>
      <c r="G163" s="3">
        <v>230.71</v>
      </c>
      <c r="H163" t="s">
        <v>12</v>
      </c>
      <c r="I163" s="2">
        <f t="shared" si="2"/>
        <v>922.84</v>
      </c>
    </row>
    <row r="164" spans="1:9" x14ac:dyDescent="0.2">
      <c r="A164" s="1">
        <v>45597</v>
      </c>
      <c r="B164" t="s">
        <v>58</v>
      </c>
      <c r="C164" t="s">
        <v>235</v>
      </c>
      <c r="D164" t="s">
        <v>57</v>
      </c>
      <c r="E164" t="str" cm="1">
        <f t="array" ref="E164">_xlfn.XLOOKUP(D164,_xlfn.ANCHORARRAY('Item_ Master'!$A$2),'Item_ Master'!$B$2:$B$14,0,0)</f>
        <v>Bakery</v>
      </c>
      <c r="F164">
        <v>3</v>
      </c>
      <c r="G164" s="3">
        <v>347.12</v>
      </c>
      <c r="H164" t="s">
        <v>12</v>
      </c>
      <c r="I164" s="2">
        <f t="shared" si="2"/>
        <v>1041.3600000000001</v>
      </c>
    </row>
    <row r="165" spans="1:9" x14ac:dyDescent="0.2">
      <c r="A165" s="1">
        <v>45305</v>
      </c>
      <c r="B165" t="s">
        <v>158</v>
      </c>
      <c r="C165" t="s">
        <v>231</v>
      </c>
      <c r="D165" t="s">
        <v>59</v>
      </c>
      <c r="E165" t="str" cm="1">
        <f t="array" ref="E165">_xlfn.XLOOKUP(D165,_xlfn.ANCHORARRAY('Item_ Master'!$A$2),'Item_ Master'!$B$2:$B$14,0,0)</f>
        <v>Produce</v>
      </c>
      <c r="F165">
        <v>4</v>
      </c>
      <c r="G165" s="3">
        <v>373.87</v>
      </c>
      <c r="H165" t="s">
        <v>12</v>
      </c>
      <c r="I165" s="2">
        <f t="shared" si="2"/>
        <v>1495.48</v>
      </c>
    </row>
    <row r="166" spans="1:9" x14ac:dyDescent="0.2">
      <c r="A166" s="1">
        <v>45318</v>
      </c>
      <c r="B166" t="s">
        <v>159</v>
      </c>
      <c r="C166" t="s">
        <v>234</v>
      </c>
      <c r="D166" t="s">
        <v>251</v>
      </c>
      <c r="E166" t="str" cm="1">
        <f t="array" ref="E166">_xlfn.XLOOKUP(D166,_xlfn.ANCHORARRAY('Item_ Master'!$A$2),'Item_ Master'!$B$2:$B$14,0,0)</f>
        <v>Household</v>
      </c>
      <c r="F166">
        <v>2</v>
      </c>
      <c r="G166" s="3">
        <v>460.12</v>
      </c>
      <c r="H166" t="s">
        <v>20</v>
      </c>
      <c r="I166" s="2">
        <f t="shared" si="2"/>
        <v>920.24</v>
      </c>
    </row>
    <row r="167" spans="1:9" x14ac:dyDescent="0.2">
      <c r="A167" s="1">
        <v>45477</v>
      </c>
      <c r="B167" t="s">
        <v>160</v>
      </c>
      <c r="C167" t="s">
        <v>232</v>
      </c>
      <c r="D167" t="s">
        <v>52</v>
      </c>
      <c r="E167" t="str" cm="1">
        <f t="array" ref="E167">_xlfn.XLOOKUP(D167,_xlfn.ANCHORARRAY('Item_ Master'!$A$2),'Item_ Master'!$B$2:$B$14,0,0)</f>
        <v>Dairy</v>
      </c>
      <c r="F167">
        <v>8</v>
      </c>
      <c r="G167" s="3">
        <v>327.11</v>
      </c>
      <c r="H167" t="s">
        <v>43</v>
      </c>
      <c r="I167" s="2">
        <f t="shared" si="2"/>
        <v>2616.88</v>
      </c>
    </row>
    <row r="168" spans="1:9" x14ac:dyDescent="0.2">
      <c r="A168" s="1">
        <v>45558</v>
      </c>
      <c r="B168" t="s">
        <v>161</v>
      </c>
      <c r="C168" t="s">
        <v>234</v>
      </c>
      <c r="D168" t="s">
        <v>71</v>
      </c>
      <c r="E168" t="str" cm="1">
        <f t="array" ref="E168">_xlfn.XLOOKUP(D168,_xlfn.ANCHORARRAY('Item_ Master'!$A$2),'Item_ Master'!$B$2:$B$14,0,0)</f>
        <v>Household</v>
      </c>
      <c r="F168">
        <v>1</v>
      </c>
      <c r="G168" s="3">
        <v>83.45</v>
      </c>
      <c r="H168" t="s">
        <v>20</v>
      </c>
      <c r="I168" s="2">
        <f t="shared" si="2"/>
        <v>83.45</v>
      </c>
    </row>
    <row r="169" spans="1:9" x14ac:dyDescent="0.2">
      <c r="A169" s="1">
        <v>45510</v>
      </c>
      <c r="B169" t="s">
        <v>115</v>
      </c>
      <c r="C169" t="s">
        <v>231</v>
      </c>
      <c r="D169" t="s">
        <v>62</v>
      </c>
      <c r="E169" t="str" cm="1">
        <f t="array" ref="E169">_xlfn.XLOOKUP(D169,_xlfn.ANCHORARRAY('Item_ Master'!$A$2),'Item_ Master'!$B$2:$B$14,0,0)</f>
        <v>Produce</v>
      </c>
      <c r="F169">
        <v>8</v>
      </c>
      <c r="G169" s="3">
        <v>90.42</v>
      </c>
      <c r="H169" t="s">
        <v>12</v>
      </c>
      <c r="I169" s="2">
        <f t="shared" si="2"/>
        <v>723.36</v>
      </c>
    </row>
    <row r="170" spans="1:9" x14ac:dyDescent="0.2">
      <c r="A170" s="1">
        <v>45367</v>
      </c>
      <c r="B170" t="s">
        <v>162</v>
      </c>
      <c r="C170" t="s">
        <v>233</v>
      </c>
      <c r="D170" t="s">
        <v>40</v>
      </c>
      <c r="E170" t="str" cm="1">
        <f t="array" ref="E170">_xlfn.XLOOKUP(D170,_xlfn.ANCHORARRAY('Item_ Master'!$A$2),'Item_ Master'!$B$2:$B$14,0,0)</f>
        <v>Household</v>
      </c>
      <c r="F170">
        <v>10</v>
      </c>
      <c r="G170" s="3">
        <v>398.19</v>
      </c>
      <c r="H170" t="s">
        <v>43</v>
      </c>
      <c r="I170" s="2">
        <f t="shared" si="2"/>
        <v>3981.9</v>
      </c>
    </row>
    <row r="171" spans="1:9" x14ac:dyDescent="0.2">
      <c r="A171" s="1">
        <v>45487</v>
      </c>
      <c r="B171" t="s">
        <v>102</v>
      </c>
      <c r="C171" t="s">
        <v>232</v>
      </c>
      <c r="D171" t="s">
        <v>40</v>
      </c>
      <c r="E171" t="str" cm="1">
        <f t="array" ref="E171">_xlfn.XLOOKUP(D171,_xlfn.ANCHORARRAY('Item_ Master'!$A$2),'Item_ Master'!$B$2:$B$14,0,0)</f>
        <v>Household</v>
      </c>
      <c r="F171">
        <v>8</v>
      </c>
      <c r="G171" s="3">
        <v>328.05</v>
      </c>
      <c r="H171" t="s">
        <v>20</v>
      </c>
      <c r="I171" s="2">
        <f t="shared" si="2"/>
        <v>2624.4</v>
      </c>
    </row>
    <row r="172" spans="1:9" x14ac:dyDescent="0.2">
      <c r="A172" s="1">
        <v>45350</v>
      </c>
      <c r="B172" t="s">
        <v>163</v>
      </c>
      <c r="C172" t="s">
        <v>232</v>
      </c>
      <c r="D172" t="s">
        <v>10</v>
      </c>
      <c r="E172" t="str" cm="1">
        <f t="array" ref="E172">_xlfn.XLOOKUP(D172,_xlfn.ANCHORARRAY('Item_ Master'!$A$2),'Item_ Master'!$B$2:$B$14,0,0)</f>
        <v>Produce</v>
      </c>
      <c r="F172">
        <v>4</v>
      </c>
      <c r="G172" s="3">
        <v>286.54000000000002</v>
      </c>
      <c r="H172" t="s">
        <v>12</v>
      </c>
      <c r="I172" s="2">
        <f t="shared" si="2"/>
        <v>1146.1600000000001</v>
      </c>
    </row>
    <row r="173" spans="1:9" x14ac:dyDescent="0.2">
      <c r="A173" s="1">
        <v>45524</v>
      </c>
      <c r="B173" t="s">
        <v>61</v>
      </c>
      <c r="C173" t="s">
        <v>234</v>
      </c>
      <c r="D173" t="s">
        <v>10</v>
      </c>
      <c r="E173" t="str" cm="1">
        <f t="array" ref="E173">_xlfn.XLOOKUP(D173,_xlfn.ANCHORARRAY('Item_ Master'!$A$2),'Item_ Master'!$B$2:$B$14,0,0)</f>
        <v>Produce</v>
      </c>
      <c r="F173">
        <v>2</v>
      </c>
      <c r="G173" s="3">
        <v>221.9</v>
      </c>
      <c r="H173" t="s">
        <v>20</v>
      </c>
      <c r="I173" s="2">
        <f t="shared" si="2"/>
        <v>443.8</v>
      </c>
    </row>
    <row r="174" spans="1:9" x14ac:dyDescent="0.2">
      <c r="A174" s="1">
        <v>45483</v>
      </c>
      <c r="B174" t="s">
        <v>164</v>
      </c>
      <c r="C174" t="s">
        <v>234</v>
      </c>
      <c r="D174" t="s">
        <v>52</v>
      </c>
      <c r="E174" t="str" cm="1">
        <f t="array" ref="E174">_xlfn.XLOOKUP(D174,_xlfn.ANCHORARRAY('Item_ Master'!$A$2),'Item_ Master'!$B$2:$B$14,0,0)</f>
        <v>Dairy</v>
      </c>
      <c r="F174">
        <v>2</v>
      </c>
      <c r="G174" s="3">
        <v>507.47</v>
      </c>
      <c r="H174" t="s">
        <v>12</v>
      </c>
      <c r="I174" s="2">
        <f t="shared" si="2"/>
        <v>1014.94</v>
      </c>
    </row>
    <row r="175" spans="1:9" x14ac:dyDescent="0.2">
      <c r="A175" s="1">
        <v>45482</v>
      </c>
      <c r="B175" t="s">
        <v>158</v>
      </c>
      <c r="C175" t="s">
        <v>232</v>
      </c>
      <c r="D175" t="s">
        <v>52</v>
      </c>
      <c r="E175" t="str" cm="1">
        <f t="array" ref="E175">_xlfn.XLOOKUP(D175,_xlfn.ANCHORARRAY('Item_ Master'!$A$2),'Item_ Master'!$B$2:$B$14,0,0)</f>
        <v>Dairy</v>
      </c>
      <c r="F175">
        <v>10</v>
      </c>
      <c r="G175" s="3">
        <v>576.14</v>
      </c>
      <c r="H175" t="s">
        <v>43</v>
      </c>
      <c r="I175" s="2">
        <f t="shared" si="2"/>
        <v>5761.4</v>
      </c>
    </row>
    <row r="176" spans="1:9" x14ac:dyDescent="0.2">
      <c r="A176" s="1">
        <v>45354</v>
      </c>
      <c r="B176" t="s">
        <v>67</v>
      </c>
      <c r="C176" t="s">
        <v>235</v>
      </c>
      <c r="D176" t="s">
        <v>71</v>
      </c>
      <c r="E176" t="str" cm="1">
        <f t="array" ref="E176">_xlfn.XLOOKUP(D176,_xlfn.ANCHORARRAY('Item_ Master'!$A$2),'Item_ Master'!$B$2:$B$14,0,0)</f>
        <v>Household</v>
      </c>
      <c r="F176">
        <v>7</v>
      </c>
      <c r="G176" s="3">
        <v>527.45000000000005</v>
      </c>
      <c r="H176" t="s">
        <v>43</v>
      </c>
      <c r="I176" s="2">
        <f t="shared" si="2"/>
        <v>3692.1500000000005</v>
      </c>
    </row>
    <row r="177" spans="1:9" x14ac:dyDescent="0.2">
      <c r="A177" s="1">
        <v>45439</v>
      </c>
      <c r="B177" t="s">
        <v>165</v>
      </c>
      <c r="C177" t="s">
        <v>235</v>
      </c>
      <c r="D177" t="s">
        <v>59</v>
      </c>
      <c r="E177" t="str" cm="1">
        <f t="array" ref="E177">_xlfn.XLOOKUP(D177,_xlfn.ANCHORARRAY('Item_ Master'!$A$2),'Item_ Master'!$B$2:$B$14,0,0)</f>
        <v>Produce</v>
      </c>
      <c r="F177">
        <v>2</v>
      </c>
      <c r="G177" s="3">
        <v>367.86</v>
      </c>
      <c r="H177" t="s">
        <v>12</v>
      </c>
      <c r="I177" s="2">
        <f t="shared" si="2"/>
        <v>735.72</v>
      </c>
    </row>
    <row r="178" spans="1:9" x14ac:dyDescent="0.2">
      <c r="A178" s="1">
        <v>45538</v>
      </c>
      <c r="B178" t="s">
        <v>166</v>
      </c>
      <c r="C178" t="s">
        <v>231</v>
      </c>
      <c r="D178" t="s">
        <v>59</v>
      </c>
      <c r="E178" t="str" cm="1">
        <f t="array" ref="E178">_xlfn.XLOOKUP(D178,_xlfn.ANCHORARRAY('Item_ Master'!$A$2),'Item_ Master'!$B$2:$B$14,0,0)</f>
        <v>Produce</v>
      </c>
      <c r="F178">
        <v>9</v>
      </c>
      <c r="G178" s="3">
        <v>252.16</v>
      </c>
      <c r="H178" t="s">
        <v>20</v>
      </c>
      <c r="I178" s="2">
        <f t="shared" si="2"/>
        <v>2269.44</v>
      </c>
    </row>
    <row r="179" spans="1:9" x14ac:dyDescent="0.2">
      <c r="A179" s="1">
        <v>45511</v>
      </c>
      <c r="B179" t="s">
        <v>167</v>
      </c>
      <c r="C179" t="s">
        <v>232</v>
      </c>
      <c r="D179" t="s">
        <v>49</v>
      </c>
      <c r="E179" t="str" cm="1">
        <f t="array" ref="E179">_xlfn.XLOOKUP(D179,_xlfn.ANCHORARRAY('Item_ Master'!$A$2),'Item_ Master'!$B$2:$B$14,0,0)</f>
        <v>Personal Care</v>
      </c>
      <c r="F179">
        <v>9</v>
      </c>
      <c r="G179" s="3">
        <v>64.44</v>
      </c>
      <c r="H179" t="s">
        <v>43</v>
      </c>
      <c r="I179" s="2">
        <f t="shared" si="2"/>
        <v>579.96</v>
      </c>
    </row>
    <row r="180" spans="1:9" x14ac:dyDescent="0.2">
      <c r="A180" s="1">
        <v>45428</v>
      </c>
      <c r="B180" t="s">
        <v>168</v>
      </c>
      <c r="C180" t="s">
        <v>233</v>
      </c>
      <c r="D180" t="s">
        <v>40</v>
      </c>
      <c r="E180" t="str" cm="1">
        <f t="array" ref="E180">_xlfn.XLOOKUP(D180,_xlfn.ANCHORARRAY('Item_ Master'!$A$2),'Item_ Master'!$B$2:$B$14,0,0)</f>
        <v>Household</v>
      </c>
      <c r="F180">
        <v>5</v>
      </c>
      <c r="G180" s="3">
        <v>556.85</v>
      </c>
      <c r="H180" t="s">
        <v>20</v>
      </c>
      <c r="I180" s="2">
        <f t="shared" si="2"/>
        <v>2784.25</v>
      </c>
    </row>
    <row r="181" spans="1:9" x14ac:dyDescent="0.2">
      <c r="A181" s="1">
        <v>45365</v>
      </c>
      <c r="B181" t="s">
        <v>113</v>
      </c>
      <c r="C181" t="s">
        <v>234</v>
      </c>
      <c r="D181" t="s">
        <v>52</v>
      </c>
      <c r="E181" t="str" cm="1">
        <f t="array" ref="E181">_xlfn.XLOOKUP(D181,_xlfn.ANCHORARRAY('Item_ Master'!$A$2),'Item_ Master'!$B$2:$B$14,0,0)</f>
        <v>Dairy</v>
      </c>
      <c r="F181">
        <v>3</v>
      </c>
      <c r="G181" s="3">
        <v>457.53</v>
      </c>
      <c r="H181" t="s">
        <v>12</v>
      </c>
      <c r="I181" s="2">
        <f t="shared" si="2"/>
        <v>1372.59</v>
      </c>
    </row>
    <row r="182" spans="1:9" x14ac:dyDescent="0.2">
      <c r="A182" s="1">
        <v>45563</v>
      </c>
      <c r="B182" t="s">
        <v>169</v>
      </c>
      <c r="C182" t="s">
        <v>234</v>
      </c>
      <c r="D182" t="s">
        <v>25</v>
      </c>
      <c r="E182" t="str" cm="1">
        <f t="array" ref="E182">_xlfn.XLOOKUP(D182,_xlfn.ANCHORARRAY('Item_ Master'!$A$2),'Item_ Master'!$B$2:$B$14,0,0)</f>
        <v>Grocery</v>
      </c>
      <c r="F182">
        <v>8</v>
      </c>
      <c r="G182" s="3">
        <v>237.49</v>
      </c>
      <c r="H182" t="s">
        <v>20</v>
      </c>
      <c r="I182" s="2">
        <f t="shared" si="2"/>
        <v>1899.92</v>
      </c>
    </row>
    <row r="183" spans="1:9" x14ac:dyDescent="0.2">
      <c r="A183" s="1">
        <v>45458</v>
      </c>
      <c r="B183" t="s">
        <v>170</v>
      </c>
      <c r="C183" t="s">
        <v>232</v>
      </c>
      <c r="D183" t="s">
        <v>49</v>
      </c>
      <c r="E183" t="str" cm="1">
        <f t="array" ref="E183">_xlfn.XLOOKUP(D183,_xlfn.ANCHORARRAY('Item_ Master'!$A$2),'Item_ Master'!$B$2:$B$14,0,0)</f>
        <v>Personal Care</v>
      </c>
      <c r="F183">
        <v>2</v>
      </c>
      <c r="G183" s="3">
        <v>535.84</v>
      </c>
      <c r="H183" t="s">
        <v>12</v>
      </c>
      <c r="I183" s="2">
        <f t="shared" si="2"/>
        <v>1071.68</v>
      </c>
    </row>
    <row r="184" spans="1:9" x14ac:dyDescent="0.2">
      <c r="A184" s="1">
        <v>45608</v>
      </c>
      <c r="B184" t="s">
        <v>171</v>
      </c>
      <c r="C184" t="s">
        <v>231</v>
      </c>
      <c r="D184" t="s">
        <v>40</v>
      </c>
      <c r="E184" t="str" cm="1">
        <f t="array" ref="E184">_xlfn.XLOOKUP(D184,_xlfn.ANCHORARRAY('Item_ Master'!$A$2),'Item_ Master'!$B$2:$B$14,0,0)</f>
        <v>Household</v>
      </c>
      <c r="F184">
        <v>8</v>
      </c>
      <c r="G184" s="3">
        <v>414.07</v>
      </c>
      <c r="H184" t="s">
        <v>20</v>
      </c>
      <c r="I184" s="2">
        <f t="shared" si="2"/>
        <v>3312.56</v>
      </c>
    </row>
    <row r="185" spans="1:9" x14ac:dyDescent="0.2">
      <c r="A185" s="1">
        <v>45504</v>
      </c>
      <c r="B185" t="s">
        <v>105</v>
      </c>
      <c r="C185" t="s">
        <v>233</v>
      </c>
      <c r="D185" t="s">
        <v>251</v>
      </c>
      <c r="E185" t="str" cm="1">
        <f t="array" ref="E185">_xlfn.XLOOKUP(D185,_xlfn.ANCHORARRAY('Item_ Master'!$A$2),'Item_ Master'!$B$2:$B$14,0,0)</f>
        <v>Household</v>
      </c>
      <c r="F185">
        <v>2</v>
      </c>
      <c r="G185" s="3">
        <v>239.85</v>
      </c>
      <c r="H185" t="s">
        <v>12</v>
      </c>
      <c r="I185" s="2">
        <f t="shared" si="2"/>
        <v>479.7</v>
      </c>
    </row>
    <row r="186" spans="1:9" x14ac:dyDescent="0.2">
      <c r="A186" s="1">
        <v>45595</v>
      </c>
      <c r="B186" t="s">
        <v>119</v>
      </c>
      <c r="C186" t="s">
        <v>232</v>
      </c>
      <c r="D186" t="s">
        <v>71</v>
      </c>
      <c r="E186" t="str" cm="1">
        <f t="array" ref="E186">_xlfn.XLOOKUP(D186,_xlfn.ANCHORARRAY('Item_ Master'!$A$2),'Item_ Master'!$B$2:$B$14,0,0)</f>
        <v>Household</v>
      </c>
      <c r="F186">
        <v>5</v>
      </c>
      <c r="G186" s="3">
        <v>74.98</v>
      </c>
      <c r="H186" t="s">
        <v>20</v>
      </c>
      <c r="I186" s="2">
        <f t="shared" si="2"/>
        <v>374.90000000000003</v>
      </c>
    </row>
    <row r="187" spans="1:9" x14ac:dyDescent="0.2">
      <c r="A187" s="1">
        <v>45320</v>
      </c>
      <c r="B187" t="s">
        <v>172</v>
      </c>
      <c r="C187" t="s">
        <v>233</v>
      </c>
      <c r="D187" t="s">
        <v>40</v>
      </c>
      <c r="E187" t="str" cm="1">
        <f t="array" ref="E187">_xlfn.XLOOKUP(D187,_xlfn.ANCHORARRAY('Item_ Master'!$A$2),'Item_ Master'!$B$2:$B$14,0,0)</f>
        <v>Household</v>
      </c>
      <c r="F187">
        <v>4</v>
      </c>
      <c r="G187" s="3">
        <v>472.04</v>
      </c>
      <c r="H187" t="s">
        <v>20</v>
      </c>
      <c r="I187" s="2">
        <f t="shared" si="2"/>
        <v>1888.16</v>
      </c>
    </row>
    <row r="188" spans="1:9" x14ac:dyDescent="0.2">
      <c r="A188" s="1">
        <v>45353</v>
      </c>
      <c r="B188" t="s">
        <v>172</v>
      </c>
      <c r="C188" t="s">
        <v>234</v>
      </c>
      <c r="D188" t="s">
        <v>10</v>
      </c>
      <c r="E188" t="str" cm="1">
        <f t="array" ref="E188">_xlfn.XLOOKUP(D188,_xlfn.ANCHORARRAY('Item_ Master'!$A$2),'Item_ Master'!$B$2:$B$14,0,0)</f>
        <v>Produce</v>
      </c>
      <c r="F188">
        <v>7</v>
      </c>
      <c r="G188" s="3">
        <v>146.63</v>
      </c>
      <c r="H188" t="s">
        <v>20</v>
      </c>
      <c r="I188" s="2">
        <f t="shared" si="2"/>
        <v>1026.4099999999999</v>
      </c>
    </row>
    <row r="189" spans="1:9" x14ac:dyDescent="0.2">
      <c r="A189" s="1">
        <v>45409</v>
      </c>
      <c r="B189" t="s">
        <v>55</v>
      </c>
      <c r="C189" t="s">
        <v>232</v>
      </c>
      <c r="D189" t="s">
        <v>71</v>
      </c>
      <c r="E189" t="str" cm="1">
        <f t="array" ref="E189">_xlfn.XLOOKUP(D189,_xlfn.ANCHORARRAY('Item_ Master'!$A$2),'Item_ Master'!$B$2:$B$14,0,0)</f>
        <v>Household</v>
      </c>
      <c r="F189">
        <v>6</v>
      </c>
      <c r="G189" s="3">
        <v>89.64</v>
      </c>
      <c r="H189" t="s">
        <v>43</v>
      </c>
      <c r="I189" s="2">
        <f t="shared" si="2"/>
        <v>537.84</v>
      </c>
    </row>
    <row r="190" spans="1:9" x14ac:dyDescent="0.2">
      <c r="A190" s="1">
        <v>45301</v>
      </c>
      <c r="B190" t="s">
        <v>173</v>
      </c>
      <c r="C190" t="s">
        <v>231</v>
      </c>
      <c r="D190" t="s">
        <v>59</v>
      </c>
      <c r="E190" t="str" cm="1">
        <f t="array" ref="E190">_xlfn.XLOOKUP(D190,_xlfn.ANCHORARRAY('Item_ Master'!$A$2),'Item_ Master'!$B$2:$B$14,0,0)</f>
        <v>Produce</v>
      </c>
      <c r="F190">
        <v>10</v>
      </c>
      <c r="G190" s="3">
        <v>286.11</v>
      </c>
      <c r="H190" t="s">
        <v>20</v>
      </c>
      <c r="I190" s="2">
        <f t="shared" si="2"/>
        <v>2861.1000000000004</v>
      </c>
    </row>
    <row r="191" spans="1:9" x14ac:dyDescent="0.2">
      <c r="A191" s="1">
        <v>45505</v>
      </c>
      <c r="B191" t="s">
        <v>123</v>
      </c>
      <c r="C191" t="s">
        <v>231</v>
      </c>
      <c r="D191" t="s">
        <v>25</v>
      </c>
      <c r="E191" t="str" cm="1">
        <f t="array" ref="E191">_xlfn.XLOOKUP(D191,_xlfn.ANCHORARRAY('Item_ Master'!$A$2),'Item_ Master'!$B$2:$B$14,0,0)</f>
        <v>Grocery</v>
      </c>
      <c r="F191">
        <v>1</v>
      </c>
      <c r="G191" s="3">
        <v>581.41</v>
      </c>
      <c r="H191" t="s">
        <v>12</v>
      </c>
      <c r="I191" s="2">
        <f t="shared" si="2"/>
        <v>581.41</v>
      </c>
    </row>
    <row r="192" spans="1:9" x14ac:dyDescent="0.2">
      <c r="A192" s="1">
        <v>45608</v>
      </c>
      <c r="B192" t="s">
        <v>173</v>
      </c>
      <c r="C192" t="s">
        <v>235</v>
      </c>
      <c r="D192" t="s">
        <v>52</v>
      </c>
      <c r="E192" t="str" cm="1">
        <f t="array" ref="E192">_xlfn.XLOOKUP(D192,_xlfn.ANCHORARRAY('Item_ Master'!$A$2),'Item_ Master'!$B$2:$B$14,0,0)</f>
        <v>Dairy</v>
      </c>
      <c r="F192">
        <v>7</v>
      </c>
      <c r="G192" s="3">
        <v>514.47</v>
      </c>
      <c r="H192" t="s">
        <v>12</v>
      </c>
      <c r="I192" s="2">
        <f t="shared" si="2"/>
        <v>3601.29</v>
      </c>
    </row>
    <row r="193" spans="1:9" x14ac:dyDescent="0.2">
      <c r="A193" s="1">
        <v>45497</v>
      </c>
      <c r="B193" t="s">
        <v>174</v>
      </c>
      <c r="C193" t="s">
        <v>231</v>
      </c>
      <c r="D193" t="s">
        <v>25</v>
      </c>
      <c r="E193" t="str" cm="1">
        <f t="array" ref="E193">_xlfn.XLOOKUP(D193,_xlfn.ANCHORARRAY('Item_ Master'!$A$2),'Item_ Master'!$B$2:$B$14,0,0)</f>
        <v>Grocery</v>
      </c>
      <c r="F193">
        <v>5</v>
      </c>
      <c r="G193" s="3">
        <v>460.19</v>
      </c>
      <c r="H193" t="s">
        <v>12</v>
      </c>
      <c r="I193" s="2">
        <f t="shared" si="2"/>
        <v>2300.9499999999998</v>
      </c>
    </row>
    <row r="194" spans="1:9" x14ac:dyDescent="0.2">
      <c r="A194" s="1">
        <v>45378</v>
      </c>
      <c r="B194" t="s">
        <v>143</v>
      </c>
      <c r="C194" t="s">
        <v>232</v>
      </c>
      <c r="D194" t="s">
        <v>71</v>
      </c>
      <c r="E194" t="str" cm="1">
        <f t="array" ref="E194">_xlfn.XLOOKUP(D194,_xlfn.ANCHORARRAY('Item_ Master'!$A$2),'Item_ Master'!$B$2:$B$14,0,0)</f>
        <v>Household</v>
      </c>
      <c r="F194">
        <v>2</v>
      </c>
      <c r="G194" s="3">
        <v>341.83</v>
      </c>
      <c r="H194" t="s">
        <v>12</v>
      </c>
      <c r="I194" s="2">
        <f t="shared" si="2"/>
        <v>683.66</v>
      </c>
    </row>
    <row r="195" spans="1:9" x14ac:dyDescent="0.2">
      <c r="A195" s="1">
        <v>45470</v>
      </c>
      <c r="B195" t="s">
        <v>134</v>
      </c>
      <c r="C195" t="s">
        <v>233</v>
      </c>
      <c r="D195" t="s">
        <v>40</v>
      </c>
      <c r="E195" t="str" cm="1">
        <f t="array" ref="E195">_xlfn.XLOOKUP(D195,_xlfn.ANCHORARRAY('Item_ Master'!$A$2),'Item_ Master'!$B$2:$B$14,0,0)</f>
        <v>Household</v>
      </c>
      <c r="F195">
        <v>2</v>
      </c>
      <c r="G195" s="3">
        <v>130.54</v>
      </c>
      <c r="H195" t="s">
        <v>12</v>
      </c>
      <c r="I195" s="2">
        <f t="shared" ref="I195:I258" si="3">F195*G195</f>
        <v>261.08</v>
      </c>
    </row>
    <row r="196" spans="1:9" x14ac:dyDescent="0.2">
      <c r="A196" s="1">
        <v>45370</v>
      </c>
      <c r="B196" t="s">
        <v>21</v>
      </c>
      <c r="C196" t="s">
        <v>231</v>
      </c>
      <c r="D196" t="s">
        <v>57</v>
      </c>
      <c r="E196" t="str" cm="1">
        <f t="array" ref="E196">_xlfn.XLOOKUP(D196,_xlfn.ANCHORARRAY('Item_ Master'!$A$2),'Item_ Master'!$B$2:$B$14,0,0)</f>
        <v>Bakery</v>
      </c>
      <c r="F196">
        <v>8</v>
      </c>
      <c r="G196" s="3">
        <v>305.17</v>
      </c>
      <c r="H196" t="s">
        <v>43</v>
      </c>
      <c r="I196" s="2">
        <f t="shared" si="3"/>
        <v>2441.36</v>
      </c>
    </row>
    <row r="197" spans="1:9" x14ac:dyDescent="0.2">
      <c r="A197" s="1">
        <v>45521</v>
      </c>
      <c r="B197" t="s">
        <v>48</v>
      </c>
      <c r="C197" t="s">
        <v>232</v>
      </c>
      <c r="D197" t="s">
        <v>71</v>
      </c>
      <c r="E197" t="str" cm="1">
        <f t="array" ref="E197">_xlfn.XLOOKUP(D197,_xlfn.ANCHORARRAY('Item_ Master'!$A$2),'Item_ Master'!$B$2:$B$14,0,0)</f>
        <v>Household</v>
      </c>
      <c r="F197">
        <v>10</v>
      </c>
      <c r="G197" s="3">
        <v>227.76</v>
      </c>
      <c r="H197" t="s">
        <v>43</v>
      </c>
      <c r="I197" s="2">
        <f t="shared" si="3"/>
        <v>2277.6</v>
      </c>
    </row>
    <row r="198" spans="1:9" x14ac:dyDescent="0.2">
      <c r="A198" s="1">
        <v>45517</v>
      </c>
      <c r="B198" t="s">
        <v>116</v>
      </c>
      <c r="C198" t="s">
        <v>234</v>
      </c>
      <c r="D198" t="s">
        <v>62</v>
      </c>
      <c r="E198" t="str" cm="1">
        <f t="array" ref="E198">_xlfn.XLOOKUP(D198,_xlfn.ANCHORARRAY('Item_ Master'!$A$2),'Item_ Master'!$B$2:$B$14,0,0)</f>
        <v>Produce</v>
      </c>
      <c r="F198">
        <v>5</v>
      </c>
      <c r="G198" s="3">
        <v>487.98</v>
      </c>
      <c r="H198" t="s">
        <v>43</v>
      </c>
      <c r="I198" s="2">
        <f t="shared" si="3"/>
        <v>2439.9</v>
      </c>
    </row>
    <row r="199" spans="1:9" x14ac:dyDescent="0.2">
      <c r="A199" s="1">
        <v>45551</v>
      </c>
      <c r="B199" t="s">
        <v>175</v>
      </c>
      <c r="C199" t="s">
        <v>235</v>
      </c>
      <c r="D199" t="s">
        <v>62</v>
      </c>
      <c r="E199" t="str" cm="1">
        <f t="array" ref="E199">_xlfn.XLOOKUP(D199,_xlfn.ANCHORARRAY('Item_ Master'!$A$2),'Item_ Master'!$B$2:$B$14,0,0)</f>
        <v>Produce</v>
      </c>
      <c r="F199">
        <v>8</v>
      </c>
      <c r="G199" s="3">
        <v>70.680000000000007</v>
      </c>
      <c r="H199" t="s">
        <v>20</v>
      </c>
      <c r="I199" s="2">
        <f t="shared" si="3"/>
        <v>565.44000000000005</v>
      </c>
    </row>
    <row r="200" spans="1:9" x14ac:dyDescent="0.2">
      <c r="A200" s="1">
        <v>45331</v>
      </c>
      <c r="B200" t="s">
        <v>138</v>
      </c>
      <c r="C200" t="s">
        <v>231</v>
      </c>
      <c r="D200" t="s">
        <v>49</v>
      </c>
      <c r="E200" t="str" cm="1">
        <f t="array" ref="E200">_xlfn.XLOOKUP(D200,_xlfn.ANCHORARRAY('Item_ Master'!$A$2),'Item_ Master'!$B$2:$B$14,0,0)</f>
        <v>Personal Care</v>
      </c>
      <c r="F200">
        <v>10</v>
      </c>
      <c r="G200" s="3">
        <v>328.89</v>
      </c>
      <c r="H200" t="s">
        <v>20</v>
      </c>
      <c r="I200" s="2">
        <f t="shared" si="3"/>
        <v>3288.8999999999996</v>
      </c>
    </row>
    <row r="201" spans="1:9" x14ac:dyDescent="0.2">
      <c r="A201" s="1">
        <v>45313</v>
      </c>
      <c r="B201" t="s">
        <v>176</v>
      </c>
      <c r="C201" t="s">
        <v>232</v>
      </c>
      <c r="D201" t="s">
        <v>71</v>
      </c>
      <c r="E201" t="str" cm="1">
        <f t="array" ref="E201">_xlfn.XLOOKUP(D201,_xlfn.ANCHORARRAY('Item_ Master'!$A$2),'Item_ Master'!$B$2:$B$14,0,0)</f>
        <v>Household</v>
      </c>
      <c r="F201">
        <v>4</v>
      </c>
      <c r="G201" s="3">
        <v>226.84</v>
      </c>
      <c r="H201" t="s">
        <v>20</v>
      </c>
      <c r="I201" s="2">
        <f t="shared" si="3"/>
        <v>907.36</v>
      </c>
    </row>
    <row r="202" spans="1:9" x14ac:dyDescent="0.2">
      <c r="A202" s="1">
        <v>45323</v>
      </c>
      <c r="B202" t="s">
        <v>176</v>
      </c>
      <c r="C202" t="s">
        <v>231</v>
      </c>
      <c r="D202" t="s">
        <v>59</v>
      </c>
      <c r="E202" t="str" cm="1">
        <f t="array" ref="E202">_xlfn.XLOOKUP(D202,_xlfn.ANCHORARRAY('Item_ Master'!$A$2),'Item_ Master'!$B$2:$B$14,0,0)</f>
        <v>Produce</v>
      </c>
      <c r="F202">
        <v>2</v>
      </c>
      <c r="G202" s="3">
        <v>327.5</v>
      </c>
      <c r="H202" t="s">
        <v>12</v>
      </c>
      <c r="I202" s="2">
        <f t="shared" si="3"/>
        <v>655</v>
      </c>
    </row>
    <row r="203" spans="1:9" x14ac:dyDescent="0.2">
      <c r="A203" s="1">
        <v>45516</v>
      </c>
      <c r="B203" t="s">
        <v>151</v>
      </c>
      <c r="C203" t="s">
        <v>232</v>
      </c>
      <c r="D203" t="s">
        <v>251</v>
      </c>
      <c r="E203" t="str" cm="1">
        <f t="array" ref="E203">_xlfn.XLOOKUP(D203,_xlfn.ANCHORARRAY('Item_ Master'!$A$2),'Item_ Master'!$B$2:$B$14,0,0)</f>
        <v>Household</v>
      </c>
      <c r="F203">
        <v>10</v>
      </c>
      <c r="G203" s="3">
        <v>137.31</v>
      </c>
      <c r="H203" t="s">
        <v>20</v>
      </c>
      <c r="I203" s="2">
        <f t="shared" si="3"/>
        <v>1373.1</v>
      </c>
    </row>
    <row r="204" spans="1:9" x14ac:dyDescent="0.2">
      <c r="A204" s="1">
        <v>45490</v>
      </c>
      <c r="B204" t="s">
        <v>87</v>
      </c>
      <c r="C204" t="s">
        <v>235</v>
      </c>
      <c r="D204" t="s">
        <v>71</v>
      </c>
      <c r="E204" t="str" cm="1">
        <f t="array" ref="E204">_xlfn.XLOOKUP(D204,_xlfn.ANCHORARRAY('Item_ Master'!$A$2),'Item_ Master'!$B$2:$B$14,0,0)</f>
        <v>Household</v>
      </c>
      <c r="F204">
        <v>10</v>
      </c>
      <c r="G204" s="3">
        <v>78.8</v>
      </c>
      <c r="H204" t="s">
        <v>43</v>
      </c>
      <c r="I204" s="2">
        <f t="shared" si="3"/>
        <v>788</v>
      </c>
    </row>
    <row r="205" spans="1:9" x14ac:dyDescent="0.2">
      <c r="A205" s="1">
        <v>45325</v>
      </c>
      <c r="B205" t="s">
        <v>177</v>
      </c>
      <c r="C205" t="s">
        <v>231</v>
      </c>
      <c r="D205" t="s">
        <v>28</v>
      </c>
      <c r="E205" t="str" cm="1">
        <f t="array" ref="E205">_xlfn.XLOOKUP(D205,_xlfn.ANCHORARRAY('Item_ Master'!$A$2),'Item_ Master'!$B$2:$B$14,0,0)</f>
        <v>Household</v>
      </c>
      <c r="F205">
        <v>7</v>
      </c>
      <c r="G205" s="3">
        <v>206.28</v>
      </c>
      <c r="H205" t="s">
        <v>43</v>
      </c>
      <c r="I205" s="2">
        <f t="shared" si="3"/>
        <v>1443.96</v>
      </c>
    </row>
    <row r="206" spans="1:9" x14ac:dyDescent="0.2">
      <c r="A206" s="1">
        <v>45600</v>
      </c>
      <c r="B206" t="s">
        <v>125</v>
      </c>
      <c r="C206" t="s">
        <v>235</v>
      </c>
      <c r="D206" t="s">
        <v>52</v>
      </c>
      <c r="E206" t="str" cm="1">
        <f t="array" ref="E206">_xlfn.XLOOKUP(D206,_xlfn.ANCHORARRAY('Item_ Master'!$A$2),'Item_ Master'!$B$2:$B$14,0,0)</f>
        <v>Dairy</v>
      </c>
      <c r="F206">
        <v>10</v>
      </c>
      <c r="G206" s="3">
        <v>414.99</v>
      </c>
      <c r="H206" t="s">
        <v>20</v>
      </c>
      <c r="I206" s="2">
        <f t="shared" si="3"/>
        <v>4149.8999999999996</v>
      </c>
    </row>
    <row r="207" spans="1:9" x14ac:dyDescent="0.2">
      <c r="A207" s="1">
        <v>45492</v>
      </c>
      <c r="B207" t="s">
        <v>158</v>
      </c>
      <c r="C207" t="s">
        <v>232</v>
      </c>
      <c r="D207" t="s">
        <v>23</v>
      </c>
      <c r="E207" t="str" cm="1">
        <f t="array" ref="E207">_xlfn.XLOOKUP(D207,_xlfn.ANCHORARRAY('Item_ Master'!$A$2),'Item_ Master'!$B$2:$B$14,0,0)</f>
        <v>Produce</v>
      </c>
      <c r="F207">
        <v>2</v>
      </c>
      <c r="G207" s="3">
        <v>220.27</v>
      </c>
      <c r="H207" t="s">
        <v>20</v>
      </c>
      <c r="I207" s="2">
        <f t="shared" si="3"/>
        <v>440.54</v>
      </c>
    </row>
    <row r="208" spans="1:9" x14ac:dyDescent="0.2">
      <c r="A208" s="1">
        <v>45460</v>
      </c>
      <c r="B208" t="s">
        <v>159</v>
      </c>
      <c r="C208" t="s">
        <v>232</v>
      </c>
      <c r="D208" t="s">
        <v>52</v>
      </c>
      <c r="E208" t="str" cm="1">
        <f t="array" ref="E208">_xlfn.XLOOKUP(D208,_xlfn.ANCHORARRAY('Item_ Master'!$A$2),'Item_ Master'!$B$2:$B$14,0,0)</f>
        <v>Dairy</v>
      </c>
      <c r="F208">
        <v>7</v>
      </c>
      <c r="G208" s="3">
        <v>329.67</v>
      </c>
      <c r="H208" t="s">
        <v>12</v>
      </c>
      <c r="I208" s="2">
        <f t="shared" si="3"/>
        <v>2307.69</v>
      </c>
    </row>
    <row r="209" spans="1:9" x14ac:dyDescent="0.2">
      <c r="A209" s="1">
        <v>45384</v>
      </c>
      <c r="B209" t="s">
        <v>44</v>
      </c>
      <c r="C209" t="s">
        <v>235</v>
      </c>
      <c r="D209" t="s">
        <v>62</v>
      </c>
      <c r="E209" t="str" cm="1">
        <f t="array" ref="E209">_xlfn.XLOOKUP(D209,_xlfn.ANCHORARRAY('Item_ Master'!$A$2),'Item_ Master'!$B$2:$B$14,0,0)</f>
        <v>Produce</v>
      </c>
      <c r="F209">
        <v>4</v>
      </c>
      <c r="G209" s="3">
        <v>174.6</v>
      </c>
      <c r="H209" t="s">
        <v>12</v>
      </c>
      <c r="I209" s="2">
        <f t="shared" si="3"/>
        <v>698.4</v>
      </c>
    </row>
    <row r="210" spans="1:9" x14ac:dyDescent="0.2">
      <c r="A210" s="1">
        <v>45443</v>
      </c>
      <c r="B210" t="s">
        <v>70</v>
      </c>
      <c r="C210" t="s">
        <v>232</v>
      </c>
      <c r="D210" t="s">
        <v>28</v>
      </c>
      <c r="E210" t="str" cm="1">
        <f t="array" ref="E210">_xlfn.XLOOKUP(D210,_xlfn.ANCHORARRAY('Item_ Master'!$A$2),'Item_ Master'!$B$2:$B$14,0,0)</f>
        <v>Household</v>
      </c>
      <c r="F210">
        <v>9</v>
      </c>
      <c r="G210" s="3">
        <v>70.760000000000005</v>
      </c>
      <c r="H210" t="s">
        <v>20</v>
      </c>
      <c r="I210" s="2">
        <f t="shared" si="3"/>
        <v>636.84</v>
      </c>
    </row>
    <row r="211" spans="1:9" x14ac:dyDescent="0.2">
      <c r="A211" s="1">
        <v>45608</v>
      </c>
      <c r="B211" t="s">
        <v>158</v>
      </c>
      <c r="C211" t="s">
        <v>232</v>
      </c>
      <c r="D211" t="s">
        <v>25</v>
      </c>
      <c r="E211" t="str" cm="1">
        <f t="array" ref="E211">_xlfn.XLOOKUP(D211,_xlfn.ANCHORARRAY('Item_ Master'!$A$2),'Item_ Master'!$B$2:$B$14,0,0)</f>
        <v>Grocery</v>
      </c>
      <c r="F211">
        <v>3</v>
      </c>
      <c r="G211" s="3">
        <v>139.24</v>
      </c>
      <c r="H211" t="s">
        <v>43</v>
      </c>
      <c r="I211" s="2">
        <f t="shared" si="3"/>
        <v>417.72</v>
      </c>
    </row>
    <row r="212" spans="1:9" x14ac:dyDescent="0.2">
      <c r="A212" s="1">
        <v>45376</v>
      </c>
      <c r="B212" t="s">
        <v>178</v>
      </c>
      <c r="C212" t="s">
        <v>234</v>
      </c>
      <c r="D212" t="s">
        <v>52</v>
      </c>
      <c r="E212" t="str" cm="1">
        <f t="array" ref="E212">_xlfn.XLOOKUP(D212,_xlfn.ANCHORARRAY('Item_ Master'!$A$2),'Item_ Master'!$B$2:$B$14,0,0)</f>
        <v>Dairy</v>
      </c>
      <c r="F212">
        <v>7</v>
      </c>
      <c r="G212" s="3">
        <v>250.36</v>
      </c>
      <c r="H212" t="s">
        <v>43</v>
      </c>
      <c r="I212" s="2">
        <f t="shared" si="3"/>
        <v>1752.52</v>
      </c>
    </row>
    <row r="213" spans="1:9" x14ac:dyDescent="0.2">
      <c r="A213" s="1">
        <v>45519</v>
      </c>
      <c r="B213" t="s">
        <v>179</v>
      </c>
      <c r="C213" t="s">
        <v>235</v>
      </c>
      <c r="D213" t="s">
        <v>10</v>
      </c>
      <c r="E213" t="str" cm="1">
        <f t="array" ref="E213">_xlfn.XLOOKUP(D213,_xlfn.ANCHORARRAY('Item_ Master'!$A$2),'Item_ Master'!$B$2:$B$14,0,0)</f>
        <v>Produce</v>
      </c>
      <c r="F213">
        <v>8</v>
      </c>
      <c r="G213" s="3">
        <v>178.7</v>
      </c>
      <c r="H213" t="s">
        <v>12</v>
      </c>
      <c r="I213" s="2">
        <f t="shared" si="3"/>
        <v>1429.6</v>
      </c>
    </row>
    <row r="214" spans="1:9" x14ac:dyDescent="0.2">
      <c r="A214" s="1">
        <v>45532</v>
      </c>
      <c r="B214" t="s">
        <v>180</v>
      </c>
      <c r="C214" t="s">
        <v>235</v>
      </c>
      <c r="D214" t="s">
        <v>71</v>
      </c>
      <c r="E214" t="str" cm="1">
        <f t="array" ref="E214">_xlfn.XLOOKUP(D214,_xlfn.ANCHORARRAY('Item_ Master'!$A$2),'Item_ Master'!$B$2:$B$14,0,0)</f>
        <v>Household</v>
      </c>
      <c r="F214">
        <v>10</v>
      </c>
      <c r="G214" s="3">
        <v>591.44000000000005</v>
      </c>
      <c r="H214" t="s">
        <v>20</v>
      </c>
      <c r="I214" s="2">
        <f t="shared" si="3"/>
        <v>5914.4000000000005</v>
      </c>
    </row>
    <row r="215" spans="1:9" x14ac:dyDescent="0.2">
      <c r="A215" s="1">
        <v>45487</v>
      </c>
      <c r="B215" t="s">
        <v>55</v>
      </c>
      <c r="C215" t="s">
        <v>232</v>
      </c>
      <c r="D215" t="s">
        <v>25</v>
      </c>
      <c r="E215" t="str" cm="1">
        <f t="array" ref="E215">_xlfn.XLOOKUP(D215,_xlfn.ANCHORARRAY('Item_ Master'!$A$2),'Item_ Master'!$B$2:$B$14,0,0)</f>
        <v>Grocery</v>
      </c>
      <c r="F215">
        <v>3</v>
      </c>
      <c r="G215" s="3">
        <v>499.29</v>
      </c>
      <c r="H215" t="s">
        <v>43</v>
      </c>
      <c r="I215" s="2">
        <f t="shared" si="3"/>
        <v>1497.8700000000001</v>
      </c>
    </row>
    <row r="216" spans="1:9" x14ac:dyDescent="0.2">
      <c r="A216" s="1">
        <v>45420</v>
      </c>
      <c r="B216" t="s">
        <v>111</v>
      </c>
      <c r="C216" t="s">
        <v>234</v>
      </c>
      <c r="D216" t="s">
        <v>59</v>
      </c>
      <c r="E216" t="str" cm="1">
        <f t="array" ref="E216">_xlfn.XLOOKUP(D216,_xlfn.ANCHORARRAY('Item_ Master'!$A$2),'Item_ Master'!$B$2:$B$14,0,0)</f>
        <v>Produce</v>
      </c>
      <c r="F216">
        <v>9</v>
      </c>
      <c r="G216" s="3">
        <v>563.86</v>
      </c>
      <c r="H216" t="s">
        <v>43</v>
      </c>
      <c r="I216" s="2">
        <f t="shared" si="3"/>
        <v>5074.74</v>
      </c>
    </row>
    <row r="217" spans="1:9" x14ac:dyDescent="0.2">
      <c r="A217" s="1">
        <v>45355</v>
      </c>
      <c r="B217" t="s">
        <v>181</v>
      </c>
      <c r="C217" t="s">
        <v>231</v>
      </c>
      <c r="D217" t="s">
        <v>57</v>
      </c>
      <c r="E217" t="str" cm="1">
        <f t="array" ref="E217">_xlfn.XLOOKUP(D217,_xlfn.ANCHORARRAY('Item_ Master'!$A$2),'Item_ Master'!$B$2:$B$14,0,0)</f>
        <v>Bakery</v>
      </c>
      <c r="F217">
        <v>5</v>
      </c>
      <c r="G217" s="3">
        <v>297.13</v>
      </c>
      <c r="H217" t="s">
        <v>43</v>
      </c>
      <c r="I217" s="2">
        <f t="shared" si="3"/>
        <v>1485.65</v>
      </c>
    </row>
    <row r="218" spans="1:9" x14ac:dyDescent="0.2">
      <c r="A218" s="1">
        <v>45515</v>
      </c>
      <c r="B218" t="s">
        <v>85</v>
      </c>
      <c r="C218" t="s">
        <v>233</v>
      </c>
      <c r="D218" t="s">
        <v>62</v>
      </c>
      <c r="E218" t="str" cm="1">
        <f t="array" ref="E218">_xlfn.XLOOKUP(D218,_xlfn.ANCHORARRAY('Item_ Master'!$A$2),'Item_ Master'!$B$2:$B$14,0,0)</f>
        <v>Produce</v>
      </c>
      <c r="F218">
        <v>6</v>
      </c>
      <c r="G218" s="3">
        <v>561.76</v>
      </c>
      <c r="H218" t="s">
        <v>20</v>
      </c>
      <c r="I218" s="2">
        <f t="shared" si="3"/>
        <v>3370.56</v>
      </c>
    </row>
    <row r="219" spans="1:9" x14ac:dyDescent="0.2">
      <c r="A219" s="1">
        <v>45549</v>
      </c>
      <c r="B219" t="s">
        <v>182</v>
      </c>
      <c r="C219" t="s">
        <v>233</v>
      </c>
      <c r="D219" t="s">
        <v>25</v>
      </c>
      <c r="E219" t="str" cm="1">
        <f t="array" ref="E219">_xlfn.XLOOKUP(D219,_xlfn.ANCHORARRAY('Item_ Master'!$A$2),'Item_ Master'!$B$2:$B$14,0,0)</f>
        <v>Grocery</v>
      </c>
      <c r="F219">
        <v>2</v>
      </c>
      <c r="G219" s="3">
        <v>256.2</v>
      </c>
      <c r="H219" t="s">
        <v>12</v>
      </c>
      <c r="I219" s="2">
        <f t="shared" si="3"/>
        <v>512.4</v>
      </c>
    </row>
    <row r="220" spans="1:9" x14ac:dyDescent="0.2">
      <c r="A220" s="1">
        <v>45342</v>
      </c>
      <c r="B220" t="s">
        <v>183</v>
      </c>
      <c r="C220" t="s">
        <v>235</v>
      </c>
      <c r="D220" t="s">
        <v>57</v>
      </c>
      <c r="E220" t="str" cm="1">
        <f t="array" ref="E220">_xlfn.XLOOKUP(D220,_xlfn.ANCHORARRAY('Item_ Master'!$A$2),'Item_ Master'!$B$2:$B$14,0,0)</f>
        <v>Bakery</v>
      </c>
      <c r="F220">
        <v>3</v>
      </c>
      <c r="G220" s="3">
        <v>71.069999999999993</v>
      </c>
      <c r="H220" t="s">
        <v>20</v>
      </c>
      <c r="I220" s="2">
        <f t="shared" si="3"/>
        <v>213.20999999999998</v>
      </c>
    </row>
    <row r="221" spans="1:9" x14ac:dyDescent="0.2">
      <c r="A221" s="1">
        <v>45363</v>
      </c>
      <c r="B221" t="s">
        <v>21</v>
      </c>
      <c r="C221" t="s">
        <v>234</v>
      </c>
      <c r="D221" t="s">
        <v>62</v>
      </c>
      <c r="E221" t="str" cm="1">
        <f t="array" ref="E221">_xlfn.XLOOKUP(D221,_xlfn.ANCHORARRAY('Item_ Master'!$A$2),'Item_ Master'!$B$2:$B$14,0,0)</f>
        <v>Produce</v>
      </c>
      <c r="F221">
        <v>10</v>
      </c>
      <c r="G221" s="3">
        <v>52.89</v>
      </c>
      <c r="H221" t="s">
        <v>12</v>
      </c>
      <c r="I221" s="2">
        <f t="shared" si="3"/>
        <v>528.9</v>
      </c>
    </row>
    <row r="222" spans="1:9" x14ac:dyDescent="0.2">
      <c r="A222" s="1">
        <v>45402</v>
      </c>
      <c r="B222" t="s">
        <v>125</v>
      </c>
      <c r="C222" t="s">
        <v>232</v>
      </c>
      <c r="D222" t="s">
        <v>10</v>
      </c>
      <c r="E222" t="str" cm="1">
        <f t="array" ref="E222">_xlfn.XLOOKUP(D222,_xlfn.ANCHORARRAY('Item_ Master'!$A$2),'Item_ Master'!$B$2:$B$14,0,0)</f>
        <v>Produce</v>
      </c>
      <c r="F222">
        <v>10</v>
      </c>
      <c r="G222" s="3">
        <v>340.27</v>
      </c>
      <c r="H222" t="s">
        <v>12</v>
      </c>
      <c r="I222" s="2">
        <f t="shared" si="3"/>
        <v>3402.7</v>
      </c>
    </row>
    <row r="223" spans="1:9" x14ac:dyDescent="0.2">
      <c r="A223" s="1">
        <v>45413</v>
      </c>
      <c r="B223" t="s">
        <v>161</v>
      </c>
      <c r="C223" t="s">
        <v>231</v>
      </c>
      <c r="D223" t="s">
        <v>52</v>
      </c>
      <c r="E223" t="str" cm="1">
        <f t="array" ref="E223">_xlfn.XLOOKUP(D223,_xlfn.ANCHORARRAY('Item_ Master'!$A$2),'Item_ Master'!$B$2:$B$14,0,0)</f>
        <v>Dairy</v>
      </c>
      <c r="F223">
        <v>4</v>
      </c>
      <c r="G223" s="3">
        <v>280.89999999999998</v>
      </c>
      <c r="H223" t="s">
        <v>43</v>
      </c>
      <c r="I223" s="2">
        <f t="shared" si="3"/>
        <v>1123.5999999999999</v>
      </c>
    </row>
    <row r="224" spans="1:9" x14ac:dyDescent="0.2">
      <c r="A224" s="1">
        <v>45348</v>
      </c>
      <c r="B224" t="s">
        <v>184</v>
      </c>
      <c r="C224" t="s">
        <v>232</v>
      </c>
      <c r="D224" t="s">
        <v>28</v>
      </c>
      <c r="E224" t="str" cm="1">
        <f t="array" ref="E224">_xlfn.XLOOKUP(D224,_xlfn.ANCHORARRAY('Item_ Master'!$A$2),'Item_ Master'!$B$2:$B$14,0,0)</f>
        <v>Household</v>
      </c>
      <c r="F224">
        <v>1</v>
      </c>
      <c r="G224" s="3">
        <v>397.58</v>
      </c>
      <c r="H224" t="s">
        <v>43</v>
      </c>
      <c r="I224" s="2">
        <f t="shared" si="3"/>
        <v>397.58</v>
      </c>
    </row>
    <row r="225" spans="1:9" x14ac:dyDescent="0.2">
      <c r="A225" s="1">
        <v>45365</v>
      </c>
      <c r="B225" t="s">
        <v>123</v>
      </c>
      <c r="C225" t="s">
        <v>234</v>
      </c>
      <c r="D225" t="s">
        <v>52</v>
      </c>
      <c r="E225" t="str" cm="1">
        <f t="array" ref="E225">_xlfn.XLOOKUP(D225,_xlfn.ANCHORARRAY('Item_ Master'!$A$2),'Item_ Master'!$B$2:$B$14,0,0)</f>
        <v>Dairy</v>
      </c>
      <c r="F225">
        <v>10</v>
      </c>
      <c r="G225" s="3">
        <v>244.05</v>
      </c>
      <c r="H225" t="s">
        <v>43</v>
      </c>
      <c r="I225" s="2">
        <f t="shared" si="3"/>
        <v>2440.5</v>
      </c>
    </row>
    <row r="226" spans="1:9" x14ac:dyDescent="0.2">
      <c r="A226" s="1">
        <v>45335</v>
      </c>
      <c r="B226" t="s">
        <v>174</v>
      </c>
      <c r="C226" t="s">
        <v>235</v>
      </c>
      <c r="D226" t="s">
        <v>52</v>
      </c>
      <c r="E226" t="str" cm="1">
        <f t="array" ref="E226">_xlfn.XLOOKUP(D226,_xlfn.ANCHORARRAY('Item_ Master'!$A$2),'Item_ Master'!$B$2:$B$14,0,0)</f>
        <v>Dairy</v>
      </c>
      <c r="F226">
        <v>9</v>
      </c>
      <c r="G226" s="3">
        <v>349.25</v>
      </c>
      <c r="H226" t="s">
        <v>43</v>
      </c>
      <c r="I226" s="2">
        <f t="shared" si="3"/>
        <v>3143.25</v>
      </c>
    </row>
    <row r="227" spans="1:9" x14ac:dyDescent="0.2">
      <c r="A227" s="1">
        <v>45491</v>
      </c>
      <c r="B227" t="s">
        <v>139</v>
      </c>
      <c r="C227" t="s">
        <v>231</v>
      </c>
      <c r="D227" t="s">
        <v>71</v>
      </c>
      <c r="E227" t="str" cm="1">
        <f t="array" ref="E227">_xlfn.XLOOKUP(D227,_xlfn.ANCHORARRAY('Item_ Master'!$A$2),'Item_ Master'!$B$2:$B$14,0,0)</f>
        <v>Household</v>
      </c>
      <c r="F227">
        <v>7</v>
      </c>
      <c r="G227" s="3">
        <v>589.57000000000005</v>
      </c>
      <c r="H227" t="s">
        <v>20</v>
      </c>
      <c r="I227" s="2">
        <f t="shared" si="3"/>
        <v>4126.9900000000007</v>
      </c>
    </row>
    <row r="228" spans="1:9" x14ac:dyDescent="0.2">
      <c r="A228" s="1">
        <v>45474</v>
      </c>
      <c r="B228" t="s">
        <v>116</v>
      </c>
      <c r="C228" t="s">
        <v>235</v>
      </c>
      <c r="D228" t="s">
        <v>40</v>
      </c>
      <c r="E228" t="str" cm="1">
        <f t="array" ref="E228">_xlfn.XLOOKUP(D228,_xlfn.ANCHORARRAY('Item_ Master'!$A$2),'Item_ Master'!$B$2:$B$14,0,0)</f>
        <v>Household</v>
      </c>
      <c r="F228">
        <v>2</v>
      </c>
      <c r="G228" s="3">
        <v>474.33</v>
      </c>
      <c r="H228" t="s">
        <v>43</v>
      </c>
      <c r="I228" s="2">
        <f t="shared" si="3"/>
        <v>948.66</v>
      </c>
    </row>
    <row r="229" spans="1:9" x14ac:dyDescent="0.2">
      <c r="A229" s="1">
        <v>45360</v>
      </c>
      <c r="B229" t="s">
        <v>142</v>
      </c>
      <c r="C229" t="s">
        <v>235</v>
      </c>
      <c r="D229" t="s">
        <v>28</v>
      </c>
      <c r="E229" t="str" cm="1">
        <f t="array" ref="E229">_xlfn.XLOOKUP(D229,_xlfn.ANCHORARRAY('Item_ Master'!$A$2),'Item_ Master'!$B$2:$B$14,0,0)</f>
        <v>Household</v>
      </c>
      <c r="F229">
        <v>6</v>
      </c>
      <c r="G229" s="3">
        <v>497.43</v>
      </c>
      <c r="H229" t="s">
        <v>12</v>
      </c>
      <c r="I229" s="2">
        <f t="shared" si="3"/>
        <v>2984.58</v>
      </c>
    </row>
    <row r="230" spans="1:9" x14ac:dyDescent="0.2">
      <c r="A230" s="1">
        <v>45529</v>
      </c>
      <c r="B230" t="s">
        <v>93</v>
      </c>
      <c r="C230" t="s">
        <v>234</v>
      </c>
      <c r="D230" t="s">
        <v>71</v>
      </c>
      <c r="E230" t="str" cm="1">
        <f t="array" ref="E230">_xlfn.XLOOKUP(D230,_xlfn.ANCHORARRAY('Item_ Master'!$A$2),'Item_ Master'!$B$2:$B$14,0,0)</f>
        <v>Household</v>
      </c>
      <c r="F230">
        <v>3</v>
      </c>
      <c r="G230" s="3">
        <v>496.32</v>
      </c>
      <c r="H230" t="s">
        <v>12</v>
      </c>
      <c r="I230" s="2">
        <f t="shared" si="3"/>
        <v>1488.96</v>
      </c>
    </row>
    <row r="231" spans="1:9" x14ac:dyDescent="0.2">
      <c r="A231" s="1">
        <v>45526</v>
      </c>
      <c r="B231" t="s">
        <v>91</v>
      </c>
      <c r="C231" t="s">
        <v>235</v>
      </c>
      <c r="D231" t="s">
        <v>57</v>
      </c>
      <c r="E231" t="str" cm="1">
        <f t="array" ref="E231">_xlfn.XLOOKUP(D231,_xlfn.ANCHORARRAY('Item_ Master'!$A$2),'Item_ Master'!$B$2:$B$14,0,0)</f>
        <v>Bakery</v>
      </c>
      <c r="F231">
        <v>1</v>
      </c>
      <c r="G231" s="3">
        <v>485.11</v>
      </c>
      <c r="H231" t="s">
        <v>12</v>
      </c>
      <c r="I231" s="2">
        <f t="shared" si="3"/>
        <v>485.11</v>
      </c>
    </row>
    <row r="232" spans="1:9" x14ac:dyDescent="0.2">
      <c r="A232" s="1">
        <v>45450</v>
      </c>
      <c r="B232" t="s">
        <v>160</v>
      </c>
      <c r="C232" t="s">
        <v>234</v>
      </c>
      <c r="D232" t="s">
        <v>28</v>
      </c>
      <c r="E232" t="str" cm="1">
        <f t="array" ref="E232">_xlfn.XLOOKUP(D232,_xlfn.ANCHORARRAY('Item_ Master'!$A$2),'Item_ Master'!$B$2:$B$14,0,0)</f>
        <v>Household</v>
      </c>
      <c r="F232">
        <v>8</v>
      </c>
      <c r="G232" s="3">
        <v>189.32</v>
      </c>
      <c r="H232" t="s">
        <v>43</v>
      </c>
      <c r="I232" s="2">
        <f t="shared" si="3"/>
        <v>1514.56</v>
      </c>
    </row>
    <row r="233" spans="1:9" x14ac:dyDescent="0.2">
      <c r="A233" s="1">
        <v>45474</v>
      </c>
      <c r="B233" t="s">
        <v>100</v>
      </c>
      <c r="C233" t="s">
        <v>231</v>
      </c>
      <c r="D233" t="s">
        <v>71</v>
      </c>
      <c r="E233" t="str" cm="1">
        <f t="array" ref="E233">_xlfn.XLOOKUP(D233,_xlfn.ANCHORARRAY('Item_ Master'!$A$2),'Item_ Master'!$B$2:$B$14,0,0)</f>
        <v>Household</v>
      </c>
      <c r="F233">
        <v>6</v>
      </c>
      <c r="G233" s="3">
        <v>200.27</v>
      </c>
      <c r="H233" t="s">
        <v>20</v>
      </c>
      <c r="I233" s="2">
        <f t="shared" si="3"/>
        <v>1201.6200000000001</v>
      </c>
    </row>
    <row r="234" spans="1:9" x14ac:dyDescent="0.2">
      <c r="A234" s="1">
        <v>45496</v>
      </c>
      <c r="B234" t="s">
        <v>185</v>
      </c>
      <c r="C234" t="s">
        <v>234</v>
      </c>
      <c r="D234" t="s">
        <v>25</v>
      </c>
      <c r="E234" t="str" cm="1">
        <f t="array" ref="E234">_xlfn.XLOOKUP(D234,_xlfn.ANCHORARRAY('Item_ Master'!$A$2),'Item_ Master'!$B$2:$B$14,0,0)</f>
        <v>Grocery</v>
      </c>
      <c r="F234">
        <v>6</v>
      </c>
      <c r="G234" s="3">
        <v>585.54999999999995</v>
      </c>
      <c r="H234" t="s">
        <v>20</v>
      </c>
      <c r="I234" s="2">
        <f t="shared" si="3"/>
        <v>3513.2999999999997</v>
      </c>
    </row>
    <row r="235" spans="1:9" x14ac:dyDescent="0.2">
      <c r="A235" s="1">
        <v>45480</v>
      </c>
      <c r="B235" t="s">
        <v>186</v>
      </c>
      <c r="C235" t="s">
        <v>235</v>
      </c>
      <c r="D235" t="s">
        <v>52</v>
      </c>
      <c r="E235" t="str" cm="1">
        <f t="array" ref="E235">_xlfn.XLOOKUP(D235,_xlfn.ANCHORARRAY('Item_ Master'!$A$2),'Item_ Master'!$B$2:$B$14,0,0)</f>
        <v>Dairy</v>
      </c>
      <c r="F235">
        <v>7</v>
      </c>
      <c r="G235" s="3">
        <v>93.41</v>
      </c>
      <c r="H235" t="s">
        <v>43</v>
      </c>
      <c r="I235" s="2">
        <f t="shared" si="3"/>
        <v>653.87</v>
      </c>
    </row>
    <row r="236" spans="1:9" x14ac:dyDescent="0.2">
      <c r="A236" s="1">
        <v>45384</v>
      </c>
      <c r="B236" t="s">
        <v>82</v>
      </c>
      <c r="C236" t="s">
        <v>235</v>
      </c>
      <c r="D236" t="s">
        <v>59</v>
      </c>
      <c r="E236" t="str" cm="1">
        <f t="array" ref="E236">_xlfn.XLOOKUP(D236,_xlfn.ANCHORARRAY('Item_ Master'!$A$2),'Item_ Master'!$B$2:$B$14,0,0)</f>
        <v>Produce</v>
      </c>
      <c r="F236">
        <v>2</v>
      </c>
      <c r="G236" s="3">
        <v>94.04</v>
      </c>
      <c r="H236" t="s">
        <v>43</v>
      </c>
      <c r="I236" s="2">
        <f t="shared" si="3"/>
        <v>188.08</v>
      </c>
    </row>
    <row r="237" spans="1:9" x14ac:dyDescent="0.2">
      <c r="A237" s="1">
        <v>45520</v>
      </c>
      <c r="B237" t="s">
        <v>131</v>
      </c>
      <c r="C237" t="s">
        <v>234</v>
      </c>
      <c r="D237" t="s">
        <v>57</v>
      </c>
      <c r="E237" t="str" cm="1">
        <f t="array" ref="E237">_xlfn.XLOOKUP(D237,_xlfn.ANCHORARRAY('Item_ Master'!$A$2),'Item_ Master'!$B$2:$B$14,0,0)</f>
        <v>Bakery</v>
      </c>
      <c r="F237">
        <v>8</v>
      </c>
      <c r="G237" s="3">
        <v>243.35</v>
      </c>
      <c r="H237" t="s">
        <v>12</v>
      </c>
      <c r="I237" s="2">
        <f t="shared" si="3"/>
        <v>1946.8</v>
      </c>
    </row>
    <row r="238" spans="1:9" x14ac:dyDescent="0.2">
      <c r="A238" s="1">
        <v>45472</v>
      </c>
      <c r="B238" t="s">
        <v>94</v>
      </c>
      <c r="C238" t="s">
        <v>234</v>
      </c>
      <c r="D238" t="s">
        <v>40</v>
      </c>
      <c r="E238" t="str" cm="1">
        <f t="array" ref="E238">_xlfn.XLOOKUP(D238,_xlfn.ANCHORARRAY('Item_ Master'!$A$2),'Item_ Master'!$B$2:$B$14,0,0)</f>
        <v>Household</v>
      </c>
      <c r="F238">
        <v>1</v>
      </c>
      <c r="G238" s="3">
        <v>91.27</v>
      </c>
      <c r="H238" t="s">
        <v>43</v>
      </c>
      <c r="I238" s="2">
        <f t="shared" si="3"/>
        <v>91.27</v>
      </c>
    </row>
    <row r="239" spans="1:9" x14ac:dyDescent="0.2">
      <c r="A239" s="1">
        <v>45554</v>
      </c>
      <c r="B239" t="s">
        <v>140</v>
      </c>
      <c r="C239" t="s">
        <v>233</v>
      </c>
      <c r="D239" t="s">
        <v>52</v>
      </c>
      <c r="E239" t="str" cm="1">
        <f t="array" ref="E239">_xlfn.XLOOKUP(D239,_xlfn.ANCHORARRAY('Item_ Master'!$A$2),'Item_ Master'!$B$2:$B$14,0,0)</f>
        <v>Dairy</v>
      </c>
      <c r="F239">
        <v>3</v>
      </c>
      <c r="G239" s="3">
        <v>516.77</v>
      </c>
      <c r="H239" t="s">
        <v>43</v>
      </c>
      <c r="I239" s="2">
        <f t="shared" si="3"/>
        <v>1550.31</v>
      </c>
    </row>
    <row r="240" spans="1:9" x14ac:dyDescent="0.2">
      <c r="A240" s="1">
        <v>45309</v>
      </c>
      <c r="B240" t="s">
        <v>159</v>
      </c>
      <c r="C240" t="s">
        <v>231</v>
      </c>
      <c r="D240" t="s">
        <v>40</v>
      </c>
      <c r="E240" t="str" cm="1">
        <f t="array" ref="E240">_xlfn.XLOOKUP(D240,_xlfn.ANCHORARRAY('Item_ Master'!$A$2),'Item_ Master'!$B$2:$B$14,0,0)</f>
        <v>Household</v>
      </c>
      <c r="F240">
        <v>6</v>
      </c>
      <c r="G240" s="3">
        <v>249.18</v>
      </c>
      <c r="H240" t="s">
        <v>43</v>
      </c>
      <c r="I240" s="2">
        <f t="shared" si="3"/>
        <v>1495.08</v>
      </c>
    </row>
    <row r="241" spans="1:9" x14ac:dyDescent="0.2">
      <c r="A241" s="1">
        <v>45370</v>
      </c>
      <c r="B241" t="s">
        <v>153</v>
      </c>
      <c r="C241" t="s">
        <v>234</v>
      </c>
      <c r="D241" t="s">
        <v>59</v>
      </c>
      <c r="E241" t="str" cm="1">
        <f t="array" ref="E241">_xlfn.XLOOKUP(D241,_xlfn.ANCHORARRAY('Item_ Master'!$A$2),'Item_ Master'!$B$2:$B$14,0,0)</f>
        <v>Produce</v>
      </c>
      <c r="F241">
        <v>6</v>
      </c>
      <c r="G241" s="3">
        <v>294.17</v>
      </c>
      <c r="H241" t="s">
        <v>12</v>
      </c>
      <c r="I241" s="2">
        <f t="shared" si="3"/>
        <v>1765.02</v>
      </c>
    </row>
    <row r="242" spans="1:9" x14ac:dyDescent="0.2">
      <c r="A242" s="1">
        <v>45563</v>
      </c>
      <c r="B242" t="s">
        <v>36</v>
      </c>
      <c r="C242" t="s">
        <v>234</v>
      </c>
      <c r="D242" t="s">
        <v>59</v>
      </c>
      <c r="E242" t="str" cm="1">
        <f t="array" ref="E242">_xlfn.XLOOKUP(D242,_xlfn.ANCHORARRAY('Item_ Master'!$A$2),'Item_ Master'!$B$2:$B$14,0,0)</f>
        <v>Produce</v>
      </c>
      <c r="F242">
        <v>5</v>
      </c>
      <c r="G242" s="3">
        <v>187.29</v>
      </c>
      <c r="H242" t="s">
        <v>12</v>
      </c>
      <c r="I242" s="2">
        <f t="shared" si="3"/>
        <v>936.44999999999993</v>
      </c>
    </row>
    <row r="243" spans="1:9" x14ac:dyDescent="0.2">
      <c r="A243" s="1">
        <v>45387</v>
      </c>
      <c r="B243" t="s">
        <v>184</v>
      </c>
      <c r="C243" t="s">
        <v>232</v>
      </c>
      <c r="D243" t="s">
        <v>25</v>
      </c>
      <c r="E243" t="str" cm="1">
        <f t="array" ref="E243">_xlfn.XLOOKUP(D243,_xlfn.ANCHORARRAY('Item_ Master'!$A$2),'Item_ Master'!$B$2:$B$14,0,0)</f>
        <v>Grocery</v>
      </c>
      <c r="F243">
        <v>9</v>
      </c>
      <c r="G243" s="3">
        <v>114.77</v>
      </c>
      <c r="H243" t="s">
        <v>20</v>
      </c>
      <c r="I243" s="2">
        <f t="shared" si="3"/>
        <v>1032.93</v>
      </c>
    </row>
    <row r="244" spans="1:9" x14ac:dyDescent="0.2">
      <c r="A244" s="1">
        <v>45401</v>
      </c>
      <c r="B244" t="s">
        <v>179</v>
      </c>
      <c r="C244" t="s">
        <v>235</v>
      </c>
      <c r="D244" t="s">
        <v>23</v>
      </c>
      <c r="E244" t="str" cm="1">
        <f t="array" ref="E244">_xlfn.XLOOKUP(D244,_xlfn.ANCHORARRAY('Item_ Master'!$A$2),'Item_ Master'!$B$2:$B$14,0,0)</f>
        <v>Produce</v>
      </c>
      <c r="F244">
        <v>8</v>
      </c>
      <c r="G244" s="3">
        <v>160.1</v>
      </c>
      <c r="H244" t="s">
        <v>12</v>
      </c>
      <c r="I244" s="2">
        <f t="shared" si="3"/>
        <v>1280.8</v>
      </c>
    </row>
    <row r="245" spans="1:9" x14ac:dyDescent="0.2">
      <c r="A245" s="1">
        <v>45523</v>
      </c>
      <c r="B245" t="s">
        <v>187</v>
      </c>
      <c r="C245" t="s">
        <v>234</v>
      </c>
      <c r="D245" t="s">
        <v>52</v>
      </c>
      <c r="E245" t="str" cm="1">
        <f t="array" ref="E245">_xlfn.XLOOKUP(D245,_xlfn.ANCHORARRAY('Item_ Master'!$A$2),'Item_ Master'!$B$2:$B$14,0,0)</f>
        <v>Dairy</v>
      </c>
      <c r="F245">
        <v>6</v>
      </c>
      <c r="G245" s="3">
        <v>417.31</v>
      </c>
      <c r="H245" t="s">
        <v>43</v>
      </c>
      <c r="I245" s="2">
        <f t="shared" si="3"/>
        <v>2503.86</v>
      </c>
    </row>
    <row r="246" spans="1:9" x14ac:dyDescent="0.2">
      <c r="A246" s="1">
        <v>45569</v>
      </c>
      <c r="B246" t="s">
        <v>123</v>
      </c>
      <c r="C246" t="s">
        <v>235</v>
      </c>
      <c r="D246" t="s">
        <v>57</v>
      </c>
      <c r="E246" t="str" cm="1">
        <f t="array" ref="E246">_xlfn.XLOOKUP(D246,_xlfn.ANCHORARRAY('Item_ Master'!$A$2),'Item_ Master'!$B$2:$B$14,0,0)</f>
        <v>Bakery</v>
      </c>
      <c r="F246">
        <v>3</v>
      </c>
      <c r="G246" s="3">
        <v>486.53</v>
      </c>
      <c r="H246" t="s">
        <v>43</v>
      </c>
      <c r="I246" s="2">
        <f t="shared" si="3"/>
        <v>1459.59</v>
      </c>
    </row>
    <row r="247" spans="1:9" x14ac:dyDescent="0.2">
      <c r="A247" s="1">
        <v>45394</v>
      </c>
      <c r="B247" t="s">
        <v>46</v>
      </c>
      <c r="C247" t="s">
        <v>233</v>
      </c>
      <c r="D247" t="s">
        <v>62</v>
      </c>
      <c r="E247" t="str" cm="1">
        <f t="array" ref="E247">_xlfn.XLOOKUP(D247,_xlfn.ANCHORARRAY('Item_ Master'!$A$2),'Item_ Master'!$B$2:$B$14,0,0)</f>
        <v>Produce</v>
      </c>
      <c r="F247">
        <v>1</v>
      </c>
      <c r="G247" s="3">
        <v>248.49</v>
      </c>
      <c r="H247" t="s">
        <v>43</v>
      </c>
      <c r="I247" s="2">
        <f t="shared" si="3"/>
        <v>248.49</v>
      </c>
    </row>
    <row r="248" spans="1:9" x14ac:dyDescent="0.2">
      <c r="A248" s="1">
        <v>45574</v>
      </c>
      <c r="B248" t="s">
        <v>158</v>
      </c>
      <c r="C248" t="s">
        <v>232</v>
      </c>
      <c r="D248" t="s">
        <v>52</v>
      </c>
      <c r="E248" t="str" cm="1">
        <f t="array" ref="E248">_xlfn.XLOOKUP(D248,_xlfn.ANCHORARRAY('Item_ Master'!$A$2),'Item_ Master'!$B$2:$B$14,0,0)</f>
        <v>Dairy</v>
      </c>
      <c r="F248">
        <v>2</v>
      </c>
      <c r="G248" s="3">
        <v>220.11</v>
      </c>
      <c r="H248" t="s">
        <v>43</v>
      </c>
      <c r="I248" s="2">
        <f t="shared" si="3"/>
        <v>440.22</v>
      </c>
    </row>
    <row r="249" spans="1:9" x14ac:dyDescent="0.2">
      <c r="A249" s="1">
        <v>45561</v>
      </c>
      <c r="B249" t="s">
        <v>67</v>
      </c>
      <c r="C249" t="s">
        <v>234</v>
      </c>
      <c r="D249" t="s">
        <v>78</v>
      </c>
      <c r="E249" t="str" cm="1">
        <f t="array" ref="E249">_xlfn.XLOOKUP(D249,_xlfn.ANCHORARRAY('Item_ Master'!$A$2),'Item_ Master'!$B$2:$B$14,0,0)</f>
        <v>Personal Care</v>
      </c>
      <c r="F249">
        <v>2</v>
      </c>
      <c r="G249" s="3">
        <v>118.93</v>
      </c>
      <c r="H249" t="s">
        <v>20</v>
      </c>
      <c r="I249" s="2">
        <f t="shared" si="3"/>
        <v>237.86</v>
      </c>
    </row>
    <row r="250" spans="1:9" x14ac:dyDescent="0.2">
      <c r="A250" s="1">
        <v>45522</v>
      </c>
      <c r="B250" t="s">
        <v>149</v>
      </c>
      <c r="C250" t="s">
        <v>232</v>
      </c>
      <c r="D250" t="s">
        <v>59</v>
      </c>
      <c r="E250" t="str" cm="1">
        <f t="array" ref="E250">_xlfn.XLOOKUP(D250,_xlfn.ANCHORARRAY('Item_ Master'!$A$2),'Item_ Master'!$B$2:$B$14,0,0)</f>
        <v>Produce</v>
      </c>
      <c r="F250">
        <v>3</v>
      </c>
      <c r="G250" s="3">
        <v>532.88</v>
      </c>
      <c r="H250" t="s">
        <v>43</v>
      </c>
      <c r="I250" s="2">
        <f t="shared" si="3"/>
        <v>1598.6399999999999</v>
      </c>
    </row>
    <row r="251" spans="1:9" x14ac:dyDescent="0.2">
      <c r="A251" s="1">
        <v>45385</v>
      </c>
      <c r="B251" t="s">
        <v>104</v>
      </c>
      <c r="C251" t="s">
        <v>233</v>
      </c>
      <c r="D251" t="s">
        <v>25</v>
      </c>
      <c r="E251" t="str" cm="1">
        <f t="array" ref="E251">_xlfn.XLOOKUP(D251,_xlfn.ANCHORARRAY('Item_ Master'!$A$2),'Item_ Master'!$B$2:$B$14,0,0)</f>
        <v>Grocery</v>
      </c>
      <c r="F251">
        <v>9</v>
      </c>
      <c r="G251" s="3">
        <v>550.89</v>
      </c>
      <c r="H251" t="s">
        <v>12</v>
      </c>
      <c r="I251" s="2">
        <f t="shared" si="3"/>
        <v>4958.01</v>
      </c>
    </row>
    <row r="252" spans="1:9" x14ac:dyDescent="0.2">
      <c r="A252" s="1">
        <v>45557</v>
      </c>
      <c r="B252" t="s">
        <v>164</v>
      </c>
      <c r="C252" t="s">
        <v>235</v>
      </c>
      <c r="D252" t="s">
        <v>57</v>
      </c>
      <c r="E252" t="str" cm="1">
        <f t="array" ref="E252">_xlfn.XLOOKUP(D252,_xlfn.ANCHORARRAY('Item_ Master'!$A$2),'Item_ Master'!$B$2:$B$14,0,0)</f>
        <v>Bakery</v>
      </c>
      <c r="F252">
        <v>3</v>
      </c>
      <c r="G252" s="3">
        <v>227.46</v>
      </c>
      <c r="H252" t="s">
        <v>43</v>
      </c>
      <c r="I252" s="2">
        <f t="shared" si="3"/>
        <v>682.38</v>
      </c>
    </row>
    <row r="253" spans="1:9" x14ac:dyDescent="0.2">
      <c r="A253" s="1">
        <v>45557</v>
      </c>
      <c r="B253" t="s">
        <v>181</v>
      </c>
      <c r="C253" t="s">
        <v>231</v>
      </c>
      <c r="D253" t="s">
        <v>40</v>
      </c>
      <c r="E253" t="str" cm="1">
        <f t="array" ref="E253">_xlfn.XLOOKUP(D253,_xlfn.ANCHORARRAY('Item_ Master'!$A$2),'Item_ Master'!$B$2:$B$14,0,0)</f>
        <v>Household</v>
      </c>
      <c r="F253">
        <v>4</v>
      </c>
      <c r="G253" s="3">
        <v>399.28</v>
      </c>
      <c r="H253" t="s">
        <v>43</v>
      </c>
      <c r="I253" s="2">
        <f t="shared" si="3"/>
        <v>1597.12</v>
      </c>
    </row>
    <row r="254" spans="1:9" x14ac:dyDescent="0.2">
      <c r="A254" s="1">
        <v>45612</v>
      </c>
      <c r="B254" t="s">
        <v>161</v>
      </c>
      <c r="C254" t="s">
        <v>232</v>
      </c>
      <c r="D254" t="s">
        <v>28</v>
      </c>
      <c r="E254" t="str" cm="1">
        <f t="array" ref="E254">_xlfn.XLOOKUP(D254,_xlfn.ANCHORARRAY('Item_ Master'!$A$2),'Item_ Master'!$B$2:$B$14,0,0)</f>
        <v>Household</v>
      </c>
      <c r="F254">
        <v>2</v>
      </c>
      <c r="G254" s="3">
        <v>326.42</v>
      </c>
      <c r="H254" t="s">
        <v>12</v>
      </c>
      <c r="I254" s="2">
        <f t="shared" si="3"/>
        <v>652.84</v>
      </c>
    </row>
    <row r="255" spans="1:9" x14ac:dyDescent="0.2">
      <c r="A255" s="1">
        <v>45589</v>
      </c>
      <c r="B255" t="s">
        <v>164</v>
      </c>
      <c r="C255" t="s">
        <v>233</v>
      </c>
      <c r="D255" t="s">
        <v>71</v>
      </c>
      <c r="E255" t="str" cm="1">
        <f t="array" ref="E255">_xlfn.XLOOKUP(D255,_xlfn.ANCHORARRAY('Item_ Master'!$A$2),'Item_ Master'!$B$2:$B$14,0,0)</f>
        <v>Household</v>
      </c>
      <c r="F255">
        <v>10</v>
      </c>
      <c r="G255" s="3">
        <v>446.35</v>
      </c>
      <c r="H255" t="s">
        <v>43</v>
      </c>
      <c r="I255" s="2">
        <f t="shared" si="3"/>
        <v>4463.5</v>
      </c>
    </row>
    <row r="256" spans="1:9" x14ac:dyDescent="0.2">
      <c r="A256" s="1">
        <v>45580</v>
      </c>
      <c r="B256" t="s">
        <v>188</v>
      </c>
      <c r="C256" t="s">
        <v>231</v>
      </c>
      <c r="D256" t="s">
        <v>52</v>
      </c>
      <c r="E256" t="str" cm="1">
        <f t="array" ref="E256">_xlfn.XLOOKUP(D256,_xlfn.ANCHORARRAY('Item_ Master'!$A$2),'Item_ Master'!$B$2:$B$14,0,0)</f>
        <v>Dairy</v>
      </c>
      <c r="F256">
        <v>1</v>
      </c>
      <c r="G256" s="3">
        <v>571.70000000000005</v>
      </c>
      <c r="H256" t="s">
        <v>43</v>
      </c>
      <c r="I256" s="2">
        <f t="shared" si="3"/>
        <v>571.70000000000005</v>
      </c>
    </row>
    <row r="257" spans="1:9" x14ac:dyDescent="0.2">
      <c r="A257" s="1">
        <v>45399</v>
      </c>
      <c r="B257" t="s">
        <v>104</v>
      </c>
      <c r="C257" t="s">
        <v>232</v>
      </c>
      <c r="D257" t="s">
        <v>25</v>
      </c>
      <c r="E257" t="str" cm="1">
        <f t="array" ref="E257">_xlfn.XLOOKUP(D257,_xlfn.ANCHORARRAY('Item_ Master'!$A$2),'Item_ Master'!$B$2:$B$14,0,0)</f>
        <v>Grocery</v>
      </c>
      <c r="F257">
        <v>10</v>
      </c>
      <c r="G257" s="3">
        <v>401.45</v>
      </c>
      <c r="H257" t="s">
        <v>20</v>
      </c>
      <c r="I257" s="2">
        <f t="shared" si="3"/>
        <v>4014.5</v>
      </c>
    </row>
    <row r="258" spans="1:9" x14ac:dyDescent="0.2">
      <c r="A258" s="1">
        <v>45571</v>
      </c>
      <c r="B258" t="s">
        <v>123</v>
      </c>
      <c r="C258" t="s">
        <v>235</v>
      </c>
      <c r="D258" t="s">
        <v>62</v>
      </c>
      <c r="E258" t="str" cm="1">
        <f t="array" ref="E258">_xlfn.XLOOKUP(D258,_xlfn.ANCHORARRAY('Item_ Master'!$A$2),'Item_ Master'!$B$2:$B$14,0,0)</f>
        <v>Produce</v>
      </c>
      <c r="F258">
        <v>4</v>
      </c>
      <c r="G258" s="3">
        <v>492.58</v>
      </c>
      <c r="H258" t="s">
        <v>43</v>
      </c>
      <c r="I258" s="2">
        <f t="shared" si="3"/>
        <v>1970.32</v>
      </c>
    </row>
    <row r="259" spans="1:9" x14ac:dyDescent="0.2">
      <c r="A259" s="1">
        <v>45524</v>
      </c>
      <c r="B259" t="s">
        <v>175</v>
      </c>
      <c r="C259" t="s">
        <v>231</v>
      </c>
      <c r="D259" t="s">
        <v>57</v>
      </c>
      <c r="E259" t="str" cm="1">
        <f t="array" ref="E259">_xlfn.XLOOKUP(D259,_xlfn.ANCHORARRAY('Item_ Master'!$A$2),'Item_ Master'!$B$2:$B$14,0,0)</f>
        <v>Bakery</v>
      </c>
      <c r="F259">
        <v>8</v>
      </c>
      <c r="G259" s="3">
        <v>278.58999999999997</v>
      </c>
      <c r="H259" t="s">
        <v>20</v>
      </c>
      <c r="I259" s="2">
        <f t="shared" ref="I259:I322" si="4">F259*G259</f>
        <v>2228.7199999999998</v>
      </c>
    </row>
    <row r="260" spans="1:9" x14ac:dyDescent="0.2">
      <c r="A260" s="1">
        <v>45602</v>
      </c>
      <c r="B260" t="s">
        <v>189</v>
      </c>
      <c r="C260" t="s">
        <v>235</v>
      </c>
      <c r="D260" t="s">
        <v>23</v>
      </c>
      <c r="E260" t="str" cm="1">
        <f t="array" ref="E260">_xlfn.XLOOKUP(D260,_xlfn.ANCHORARRAY('Item_ Master'!$A$2),'Item_ Master'!$B$2:$B$14,0,0)</f>
        <v>Produce</v>
      </c>
      <c r="F260">
        <v>6</v>
      </c>
      <c r="G260" s="3">
        <v>453.81</v>
      </c>
      <c r="H260" t="s">
        <v>20</v>
      </c>
      <c r="I260" s="2">
        <f t="shared" si="4"/>
        <v>2722.86</v>
      </c>
    </row>
    <row r="261" spans="1:9" x14ac:dyDescent="0.2">
      <c r="A261" s="1">
        <v>45358</v>
      </c>
      <c r="B261" t="s">
        <v>21</v>
      </c>
      <c r="C261" t="s">
        <v>235</v>
      </c>
      <c r="D261" t="s">
        <v>251</v>
      </c>
      <c r="E261" t="str" cm="1">
        <f t="array" ref="E261">_xlfn.XLOOKUP(D261,_xlfn.ANCHORARRAY('Item_ Master'!$A$2),'Item_ Master'!$B$2:$B$14,0,0)</f>
        <v>Household</v>
      </c>
      <c r="F261">
        <v>9</v>
      </c>
      <c r="G261" s="3">
        <v>108.4</v>
      </c>
      <c r="H261" t="s">
        <v>12</v>
      </c>
      <c r="I261" s="2">
        <f t="shared" si="4"/>
        <v>975.6</v>
      </c>
    </row>
    <row r="262" spans="1:9" x14ac:dyDescent="0.2">
      <c r="A262" s="1">
        <v>45428</v>
      </c>
      <c r="B262" t="s">
        <v>176</v>
      </c>
      <c r="C262" t="s">
        <v>233</v>
      </c>
      <c r="D262" t="s">
        <v>57</v>
      </c>
      <c r="E262" t="str" cm="1">
        <f t="array" ref="E262">_xlfn.XLOOKUP(D262,_xlfn.ANCHORARRAY('Item_ Master'!$A$2),'Item_ Master'!$B$2:$B$14,0,0)</f>
        <v>Bakery</v>
      </c>
      <c r="F262">
        <v>2</v>
      </c>
      <c r="G262" s="3">
        <v>77.83</v>
      </c>
      <c r="H262" t="s">
        <v>20</v>
      </c>
      <c r="I262" s="2">
        <f t="shared" si="4"/>
        <v>155.66</v>
      </c>
    </row>
    <row r="263" spans="1:9" x14ac:dyDescent="0.2">
      <c r="A263" s="1">
        <v>45506</v>
      </c>
      <c r="B263" t="s">
        <v>112</v>
      </c>
      <c r="C263" t="s">
        <v>233</v>
      </c>
      <c r="D263" t="s">
        <v>59</v>
      </c>
      <c r="E263" t="str" cm="1">
        <f t="array" ref="E263">_xlfn.XLOOKUP(D263,_xlfn.ANCHORARRAY('Item_ Master'!$A$2),'Item_ Master'!$B$2:$B$14,0,0)</f>
        <v>Produce</v>
      </c>
      <c r="F263">
        <v>10</v>
      </c>
      <c r="G263" s="3">
        <v>446.62</v>
      </c>
      <c r="H263" t="s">
        <v>12</v>
      </c>
      <c r="I263" s="2">
        <f t="shared" si="4"/>
        <v>4466.2</v>
      </c>
    </row>
    <row r="264" spans="1:9" x14ac:dyDescent="0.2">
      <c r="A264" s="1">
        <v>45547</v>
      </c>
      <c r="B264" t="s">
        <v>160</v>
      </c>
      <c r="C264" t="s">
        <v>234</v>
      </c>
      <c r="D264" t="s">
        <v>62</v>
      </c>
      <c r="E264" t="str" cm="1">
        <f t="array" ref="E264">_xlfn.XLOOKUP(D264,_xlfn.ANCHORARRAY('Item_ Master'!$A$2),'Item_ Master'!$B$2:$B$14,0,0)</f>
        <v>Produce</v>
      </c>
      <c r="F264">
        <v>5</v>
      </c>
      <c r="G264" s="3">
        <v>323.55</v>
      </c>
      <c r="H264" t="s">
        <v>12</v>
      </c>
      <c r="I264" s="2">
        <f t="shared" si="4"/>
        <v>1617.75</v>
      </c>
    </row>
    <row r="265" spans="1:9" x14ac:dyDescent="0.2">
      <c r="A265" s="1">
        <v>45550</v>
      </c>
      <c r="B265" t="s">
        <v>173</v>
      </c>
      <c r="C265" t="s">
        <v>233</v>
      </c>
      <c r="D265" t="s">
        <v>57</v>
      </c>
      <c r="E265" t="str" cm="1">
        <f t="array" ref="E265">_xlfn.XLOOKUP(D265,_xlfn.ANCHORARRAY('Item_ Master'!$A$2),'Item_ Master'!$B$2:$B$14,0,0)</f>
        <v>Bakery</v>
      </c>
      <c r="F265">
        <v>10</v>
      </c>
      <c r="G265" s="3">
        <v>244.09</v>
      </c>
      <c r="H265" t="s">
        <v>12</v>
      </c>
      <c r="I265" s="2">
        <f t="shared" si="4"/>
        <v>2440.9</v>
      </c>
    </row>
    <row r="266" spans="1:9" x14ac:dyDescent="0.2">
      <c r="A266" s="1">
        <v>45597</v>
      </c>
      <c r="B266" t="s">
        <v>163</v>
      </c>
      <c r="C266" t="s">
        <v>234</v>
      </c>
      <c r="D266" t="s">
        <v>40</v>
      </c>
      <c r="E266" t="str" cm="1">
        <f t="array" ref="E266">_xlfn.XLOOKUP(D266,_xlfn.ANCHORARRAY('Item_ Master'!$A$2),'Item_ Master'!$B$2:$B$14,0,0)</f>
        <v>Household</v>
      </c>
      <c r="F266">
        <v>9</v>
      </c>
      <c r="G266" s="3">
        <v>54.5</v>
      </c>
      <c r="H266" t="s">
        <v>12</v>
      </c>
      <c r="I266" s="2">
        <f t="shared" si="4"/>
        <v>490.5</v>
      </c>
    </row>
    <row r="267" spans="1:9" x14ac:dyDescent="0.2">
      <c r="A267" s="1">
        <v>45427</v>
      </c>
      <c r="B267" t="s">
        <v>26</v>
      </c>
      <c r="C267" t="s">
        <v>235</v>
      </c>
      <c r="D267" t="s">
        <v>25</v>
      </c>
      <c r="E267" t="str" cm="1">
        <f t="array" ref="E267">_xlfn.XLOOKUP(D267,_xlfn.ANCHORARRAY('Item_ Master'!$A$2),'Item_ Master'!$B$2:$B$14,0,0)</f>
        <v>Grocery</v>
      </c>
      <c r="F267">
        <v>6</v>
      </c>
      <c r="G267" s="3">
        <v>74.88</v>
      </c>
      <c r="H267" t="s">
        <v>12</v>
      </c>
      <c r="I267" s="2">
        <f t="shared" si="4"/>
        <v>449.28</v>
      </c>
    </row>
    <row r="268" spans="1:9" x14ac:dyDescent="0.2">
      <c r="A268" s="1">
        <v>45391</v>
      </c>
      <c r="B268" t="s">
        <v>156</v>
      </c>
      <c r="C268" t="s">
        <v>232</v>
      </c>
      <c r="D268" t="s">
        <v>40</v>
      </c>
      <c r="E268" t="str" cm="1">
        <f t="array" ref="E268">_xlfn.XLOOKUP(D268,_xlfn.ANCHORARRAY('Item_ Master'!$A$2),'Item_ Master'!$B$2:$B$14,0,0)</f>
        <v>Household</v>
      </c>
      <c r="F268">
        <v>2</v>
      </c>
      <c r="G268" s="3">
        <v>262.49</v>
      </c>
      <c r="H268" t="s">
        <v>20</v>
      </c>
      <c r="I268" s="2">
        <f t="shared" si="4"/>
        <v>524.98</v>
      </c>
    </row>
    <row r="269" spans="1:9" x14ac:dyDescent="0.2">
      <c r="A269" s="1">
        <v>45435</v>
      </c>
      <c r="B269" t="s">
        <v>190</v>
      </c>
      <c r="C269" t="s">
        <v>232</v>
      </c>
      <c r="D269" t="s">
        <v>52</v>
      </c>
      <c r="E269" t="str" cm="1">
        <f t="array" ref="E269">_xlfn.XLOOKUP(D269,_xlfn.ANCHORARRAY('Item_ Master'!$A$2),'Item_ Master'!$B$2:$B$14,0,0)</f>
        <v>Dairy</v>
      </c>
      <c r="F269">
        <v>3</v>
      </c>
      <c r="G269" s="3">
        <v>586.29999999999995</v>
      </c>
      <c r="H269" t="s">
        <v>20</v>
      </c>
      <c r="I269" s="2">
        <f t="shared" si="4"/>
        <v>1758.8999999999999</v>
      </c>
    </row>
    <row r="270" spans="1:9" x14ac:dyDescent="0.2">
      <c r="A270" s="1">
        <v>45465</v>
      </c>
      <c r="B270" t="s">
        <v>101</v>
      </c>
      <c r="C270" t="s">
        <v>235</v>
      </c>
      <c r="D270" t="s">
        <v>57</v>
      </c>
      <c r="E270" t="str" cm="1">
        <f t="array" ref="E270">_xlfn.XLOOKUP(D270,_xlfn.ANCHORARRAY('Item_ Master'!$A$2),'Item_ Master'!$B$2:$B$14,0,0)</f>
        <v>Bakery</v>
      </c>
      <c r="F270">
        <v>4</v>
      </c>
      <c r="G270" s="3">
        <v>381.35</v>
      </c>
      <c r="H270" t="s">
        <v>20</v>
      </c>
      <c r="I270" s="2">
        <f t="shared" si="4"/>
        <v>1525.4</v>
      </c>
    </row>
    <row r="271" spans="1:9" x14ac:dyDescent="0.2">
      <c r="A271" s="1">
        <v>45315</v>
      </c>
      <c r="B271" t="s">
        <v>91</v>
      </c>
      <c r="C271" t="s">
        <v>233</v>
      </c>
      <c r="D271" t="s">
        <v>23</v>
      </c>
      <c r="E271" t="str" cm="1">
        <f t="array" ref="E271">_xlfn.XLOOKUP(D271,_xlfn.ANCHORARRAY('Item_ Master'!$A$2),'Item_ Master'!$B$2:$B$14,0,0)</f>
        <v>Produce</v>
      </c>
      <c r="F271">
        <v>6</v>
      </c>
      <c r="G271" s="3">
        <v>492.18</v>
      </c>
      <c r="H271" t="s">
        <v>43</v>
      </c>
      <c r="I271" s="2">
        <f t="shared" si="4"/>
        <v>2953.08</v>
      </c>
    </row>
    <row r="272" spans="1:9" x14ac:dyDescent="0.2">
      <c r="A272" s="1">
        <v>45602</v>
      </c>
      <c r="B272" t="s">
        <v>160</v>
      </c>
      <c r="C272" t="s">
        <v>233</v>
      </c>
      <c r="D272" t="s">
        <v>59</v>
      </c>
      <c r="E272" t="str" cm="1">
        <f t="array" ref="E272">_xlfn.XLOOKUP(D272,_xlfn.ANCHORARRAY('Item_ Master'!$A$2),'Item_ Master'!$B$2:$B$14,0,0)</f>
        <v>Produce</v>
      </c>
      <c r="F272">
        <v>10</v>
      </c>
      <c r="G272" s="3">
        <v>225.19</v>
      </c>
      <c r="H272" t="s">
        <v>20</v>
      </c>
      <c r="I272" s="2">
        <f t="shared" si="4"/>
        <v>2251.9</v>
      </c>
    </row>
    <row r="273" spans="1:9" x14ac:dyDescent="0.2">
      <c r="A273" s="1">
        <v>45445</v>
      </c>
      <c r="B273" t="s">
        <v>191</v>
      </c>
      <c r="C273" t="s">
        <v>235</v>
      </c>
      <c r="D273" t="s">
        <v>251</v>
      </c>
      <c r="E273" t="str" cm="1">
        <f t="array" ref="E273">_xlfn.XLOOKUP(D273,_xlfn.ANCHORARRAY('Item_ Master'!$A$2),'Item_ Master'!$B$2:$B$14,0,0)</f>
        <v>Household</v>
      </c>
      <c r="F273">
        <v>9</v>
      </c>
      <c r="G273" s="3">
        <v>342.79</v>
      </c>
      <c r="H273" t="s">
        <v>43</v>
      </c>
      <c r="I273" s="2">
        <f t="shared" si="4"/>
        <v>3085.11</v>
      </c>
    </row>
    <row r="274" spans="1:9" x14ac:dyDescent="0.2">
      <c r="A274" s="1">
        <v>45535</v>
      </c>
      <c r="B274" t="s">
        <v>192</v>
      </c>
      <c r="C274" t="s">
        <v>235</v>
      </c>
      <c r="D274" t="s">
        <v>59</v>
      </c>
      <c r="E274" t="str" cm="1">
        <f t="array" ref="E274">_xlfn.XLOOKUP(D274,_xlfn.ANCHORARRAY('Item_ Master'!$A$2),'Item_ Master'!$B$2:$B$14,0,0)</f>
        <v>Produce</v>
      </c>
      <c r="F274">
        <v>2</v>
      </c>
      <c r="G274" s="3">
        <v>588.94000000000005</v>
      </c>
      <c r="H274" t="s">
        <v>43</v>
      </c>
      <c r="I274" s="2">
        <f t="shared" si="4"/>
        <v>1177.8800000000001</v>
      </c>
    </row>
    <row r="275" spans="1:9" x14ac:dyDescent="0.2">
      <c r="A275" s="1">
        <v>45614</v>
      </c>
      <c r="B275" t="s">
        <v>17</v>
      </c>
      <c r="C275" t="s">
        <v>232</v>
      </c>
      <c r="D275" t="s">
        <v>62</v>
      </c>
      <c r="E275" t="str" cm="1">
        <f t="array" ref="E275">_xlfn.XLOOKUP(D275,_xlfn.ANCHORARRAY('Item_ Master'!$A$2),'Item_ Master'!$B$2:$B$14,0,0)</f>
        <v>Produce</v>
      </c>
      <c r="F275">
        <v>5</v>
      </c>
      <c r="G275" s="3">
        <v>581.89</v>
      </c>
      <c r="H275" t="s">
        <v>43</v>
      </c>
      <c r="I275" s="2">
        <f t="shared" si="4"/>
        <v>2909.45</v>
      </c>
    </row>
    <row r="276" spans="1:9" x14ac:dyDescent="0.2">
      <c r="A276" s="1">
        <v>45318</v>
      </c>
      <c r="B276" t="s">
        <v>148</v>
      </c>
      <c r="C276" t="s">
        <v>234</v>
      </c>
      <c r="D276" t="s">
        <v>57</v>
      </c>
      <c r="E276" t="str" cm="1">
        <f t="array" ref="E276">_xlfn.XLOOKUP(D276,_xlfn.ANCHORARRAY('Item_ Master'!$A$2),'Item_ Master'!$B$2:$B$14,0,0)</f>
        <v>Bakery</v>
      </c>
      <c r="F276">
        <v>9</v>
      </c>
      <c r="G276" s="3">
        <v>395.96</v>
      </c>
      <c r="H276" t="s">
        <v>43</v>
      </c>
      <c r="I276" s="2">
        <f t="shared" si="4"/>
        <v>3563.64</v>
      </c>
    </row>
    <row r="277" spans="1:9" x14ac:dyDescent="0.2">
      <c r="A277" s="1">
        <v>45486</v>
      </c>
      <c r="B277" t="s">
        <v>193</v>
      </c>
      <c r="C277" t="s">
        <v>233</v>
      </c>
      <c r="D277" t="s">
        <v>52</v>
      </c>
      <c r="E277" t="str" cm="1">
        <f t="array" ref="E277">_xlfn.XLOOKUP(D277,_xlfn.ANCHORARRAY('Item_ Master'!$A$2),'Item_ Master'!$B$2:$B$14,0,0)</f>
        <v>Dairy</v>
      </c>
      <c r="F277">
        <v>10</v>
      </c>
      <c r="G277" s="3">
        <v>571.51</v>
      </c>
      <c r="H277" t="s">
        <v>12</v>
      </c>
      <c r="I277" s="2">
        <f t="shared" si="4"/>
        <v>5715.1</v>
      </c>
    </row>
    <row r="278" spans="1:9" x14ac:dyDescent="0.2">
      <c r="A278" s="1">
        <v>45517</v>
      </c>
      <c r="B278" t="s">
        <v>41</v>
      </c>
      <c r="C278" t="s">
        <v>234</v>
      </c>
      <c r="D278" t="s">
        <v>57</v>
      </c>
      <c r="E278" t="str" cm="1">
        <f t="array" ref="E278">_xlfn.XLOOKUP(D278,_xlfn.ANCHORARRAY('Item_ Master'!$A$2),'Item_ Master'!$B$2:$B$14,0,0)</f>
        <v>Bakery</v>
      </c>
      <c r="F278">
        <v>7</v>
      </c>
      <c r="G278" s="3">
        <v>429.78</v>
      </c>
      <c r="H278" t="s">
        <v>20</v>
      </c>
      <c r="I278" s="2">
        <f t="shared" si="4"/>
        <v>3008.46</v>
      </c>
    </row>
    <row r="279" spans="1:9" x14ac:dyDescent="0.2">
      <c r="A279" s="1">
        <v>45605</v>
      </c>
      <c r="B279" t="s">
        <v>139</v>
      </c>
      <c r="C279" t="s">
        <v>231</v>
      </c>
      <c r="D279" t="s">
        <v>23</v>
      </c>
      <c r="E279" t="str" cm="1">
        <f t="array" ref="E279">_xlfn.XLOOKUP(D279,_xlfn.ANCHORARRAY('Item_ Master'!$A$2),'Item_ Master'!$B$2:$B$14,0,0)</f>
        <v>Produce</v>
      </c>
      <c r="F279">
        <v>3</v>
      </c>
      <c r="G279" s="3">
        <v>335.28</v>
      </c>
      <c r="H279" t="s">
        <v>43</v>
      </c>
      <c r="I279" s="2">
        <f t="shared" si="4"/>
        <v>1005.8399999999999</v>
      </c>
    </row>
    <row r="280" spans="1:9" x14ac:dyDescent="0.2">
      <c r="A280" s="1">
        <v>45536</v>
      </c>
      <c r="B280" t="s">
        <v>174</v>
      </c>
      <c r="C280" t="s">
        <v>234</v>
      </c>
      <c r="D280" t="s">
        <v>59</v>
      </c>
      <c r="E280" t="str" cm="1">
        <f t="array" ref="E280">_xlfn.XLOOKUP(D280,_xlfn.ANCHORARRAY('Item_ Master'!$A$2),'Item_ Master'!$B$2:$B$14,0,0)</f>
        <v>Produce</v>
      </c>
      <c r="F280">
        <v>3</v>
      </c>
      <c r="G280" s="3">
        <v>302.81</v>
      </c>
      <c r="H280" t="s">
        <v>43</v>
      </c>
      <c r="I280" s="2">
        <f t="shared" si="4"/>
        <v>908.43000000000006</v>
      </c>
    </row>
    <row r="281" spans="1:9" x14ac:dyDescent="0.2">
      <c r="A281" s="1">
        <v>45473</v>
      </c>
      <c r="B281" t="s">
        <v>153</v>
      </c>
      <c r="C281" t="s">
        <v>235</v>
      </c>
      <c r="D281" t="s">
        <v>49</v>
      </c>
      <c r="E281" t="str" cm="1">
        <f t="array" ref="E281">_xlfn.XLOOKUP(D281,_xlfn.ANCHORARRAY('Item_ Master'!$A$2),'Item_ Master'!$B$2:$B$14,0,0)</f>
        <v>Personal Care</v>
      </c>
      <c r="F281">
        <v>8</v>
      </c>
      <c r="G281" s="3">
        <v>155.75</v>
      </c>
      <c r="H281" t="s">
        <v>12</v>
      </c>
      <c r="I281" s="2">
        <f t="shared" si="4"/>
        <v>1246</v>
      </c>
    </row>
    <row r="282" spans="1:9" x14ac:dyDescent="0.2">
      <c r="A282" s="1">
        <v>45444</v>
      </c>
      <c r="B282" t="s">
        <v>166</v>
      </c>
      <c r="C282" t="s">
        <v>235</v>
      </c>
      <c r="D282" t="s">
        <v>40</v>
      </c>
      <c r="E282" t="str" cm="1">
        <f t="array" ref="E282">_xlfn.XLOOKUP(D282,_xlfn.ANCHORARRAY('Item_ Master'!$A$2),'Item_ Master'!$B$2:$B$14,0,0)</f>
        <v>Household</v>
      </c>
      <c r="F282">
        <v>4</v>
      </c>
      <c r="G282" s="3">
        <v>429.63</v>
      </c>
      <c r="H282" t="s">
        <v>20</v>
      </c>
      <c r="I282" s="2">
        <f t="shared" si="4"/>
        <v>1718.52</v>
      </c>
    </row>
    <row r="283" spans="1:9" x14ac:dyDescent="0.2">
      <c r="A283" s="1">
        <v>45470</v>
      </c>
      <c r="B283" t="s">
        <v>167</v>
      </c>
      <c r="C283" t="s">
        <v>235</v>
      </c>
      <c r="D283" t="s">
        <v>40</v>
      </c>
      <c r="E283" t="str" cm="1">
        <f t="array" ref="E283">_xlfn.XLOOKUP(D283,_xlfn.ANCHORARRAY('Item_ Master'!$A$2),'Item_ Master'!$B$2:$B$14,0,0)</f>
        <v>Household</v>
      </c>
      <c r="F283">
        <v>2</v>
      </c>
      <c r="G283" s="3">
        <v>365.41</v>
      </c>
      <c r="H283" t="s">
        <v>43</v>
      </c>
      <c r="I283" s="2">
        <f t="shared" si="4"/>
        <v>730.82</v>
      </c>
    </row>
    <row r="284" spans="1:9" x14ac:dyDescent="0.2">
      <c r="A284" s="1">
        <v>45494</v>
      </c>
      <c r="B284" t="s">
        <v>194</v>
      </c>
      <c r="C284" t="s">
        <v>233</v>
      </c>
      <c r="D284" t="s">
        <v>40</v>
      </c>
      <c r="E284" t="str" cm="1">
        <f t="array" ref="E284">_xlfn.XLOOKUP(D284,_xlfn.ANCHORARRAY('Item_ Master'!$A$2),'Item_ Master'!$B$2:$B$14,0,0)</f>
        <v>Household</v>
      </c>
      <c r="F284">
        <v>1</v>
      </c>
      <c r="G284" s="3">
        <v>208.2</v>
      </c>
      <c r="H284" t="s">
        <v>43</v>
      </c>
      <c r="I284" s="2">
        <f t="shared" si="4"/>
        <v>208.2</v>
      </c>
    </row>
    <row r="285" spans="1:9" x14ac:dyDescent="0.2">
      <c r="A285" s="1">
        <v>45518</v>
      </c>
      <c r="B285" t="s">
        <v>163</v>
      </c>
      <c r="C285" t="s">
        <v>235</v>
      </c>
      <c r="D285" t="s">
        <v>10</v>
      </c>
      <c r="E285" t="str" cm="1">
        <f t="array" ref="E285">_xlfn.XLOOKUP(D285,_xlfn.ANCHORARRAY('Item_ Master'!$A$2),'Item_ Master'!$B$2:$B$14,0,0)</f>
        <v>Produce</v>
      </c>
      <c r="F285">
        <v>8</v>
      </c>
      <c r="G285" s="3">
        <v>167.69</v>
      </c>
      <c r="H285" t="s">
        <v>43</v>
      </c>
      <c r="I285" s="2">
        <f t="shared" si="4"/>
        <v>1341.52</v>
      </c>
    </row>
    <row r="286" spans="1:9" x14ac:dyDescent="0.2">
      <c r="A286" s="1">
        <v>45579</v>
      </c>
      <c r="B286" t="s">
        <v>93</v>
      </c>
      <c r="C286" t="s">
        <v>235</v>
      </c>
      <c r="D286" t="s">
        <v>57</v>
      </c>
      <c r="E286" t="str" cm="1">
        <f t="array" ref="E286">_xlfn.XLOOKUP(D286,_xlfn.ANCHORARRAY('Item_ Master'!$A$2),'Item_ Master'!$B$2:$B$14,0,0)</f>
        <v>Bakery</v>
      </c>
      <c r="F286">
        <v>2</v>
      </c>
      <c r="G286" s="3">
        <v>388.62</v>
      </c>
      <c r="H286" t="s">
        <v>43</v>
      </c>
      <c r="I286" s="2">
        <f t="shared" si="4"/>
        <v>777.24</v>
      </c>
    </row>
    <row r="287" spans="1:9" x14ac:dyDescent="0.2">
      <c r="A287" s="1">
        <v>45317</v>
      </c>
      <c r="B287" t="s">
        <v>65</v>
      </c>
      <c r="C287" t="s">
        <v>232</v>
      </c>
      <c r="D287" t="s">
        <v>40</v>
      </c>
      <c r="E287" t="str" cm="1">
        <f t="array" ref="E287">_xlfn.XLOOKUP(D287,_xlfn.ANCHORARRAY('Item_ Master'!$A$2),'Item_ Master'!$B$2:$B$14,0,0)</f>
        <v>Household</v>
      </c>
      <c r="F287">
        <v>4</v>
      </c>
      <c r="G287" s="3">
        <v>78.87</v>
      </c>
      <c r="H287" t="s">
        <v>20</v>
      </c>
      <c r="I287" s="2">
        <f t="shared" si="4"/>
        <v>315.48</v>
      </c>
    </row>
    <row r="288" spans="1:9" x14ac:dyDescent="0.2">
      <c r="A288" s="1">
        <v>45533</v>
      </c>
      <c r="B288" t="s">
        <v>70</v>
      </c>
      <c r="C288" t="s">
        <v>233</v>
      </c>
      <c r="D288" t="s">
        <v>52</v>
      </c>
      <c r="E288" t="str" cm="1">
        <f t="array" ref="E288">_xlfn.XLOOKUP(D288,_xlfn.ANCHORARRAY('Item_ Master'!$A$2),'Item_ Master'!$B$2:$B$14,0,0)</f>
        <v>Dairy</v>
      </c>
      <c r="F288">
        <v>9</v>
      </c>
      <c r="G288" s="3">
        <v>587.85</v>
      </c>
      <c r="H288" t="s">
        <v>12</v>
      </c>
      <c r="I288" s="2">
        <f t="shared" si="4"/>
        <v>5290.6500000000005</v>
      </c>
    </row>
    <row r="289" spans="1:9" x14ac:dyDescent="0.2">
      <c r="A289" s="1">
        <v>45535</v>
      </c>
      <c r="B289" t="s">
        <v>124</v>
      </c>
      <c r="C289" t="s">
        <v>233</v>
      </c>
      <c r="D289" t="s">
        <v>40</v>
      </c>
      <c r="E289" t="str" cm="1">
        <f t="array" ref="E289">_xlfn.XLOOKUP(D289,_xlfn.ANCHORARRAY('Item_ Master'!$A$2),'Item_ Master'!$B$2:$B$14,0,0)</f>
        <v>Household</v>
      </c>
      <c r="F289">
        <v>6</v>
      </c>
      <c r="G289" s="3">
        <v>206.98</v>
      </c>
      <c r="H289" t="s">
        <v>12</v>
      </c>
      <c r="I289" s="2">
        <f t="shared" si="4"/>
        <v>1241.8799999999999</v>
      </c>
    </row>
    <row r="290" spans="1:9" x14ac:dyDescent="0.2">
      <c r="A290" s="1">
        <v>45337</v>
      </c>
      <c r="B290" t="s">
        <v>117</v>
      </c>
      <c r="C290" t="s">
        <v>232</v>
      </c>
      <c r="D290" t="s">
        <v>40</v>
      </c>
      <c r="E290" t="str" cm="1">
        <f t="array" ref="E290">_xlfn.XLOOKUP(D290,_xlfn.ANCHORARRAY('Item_ Master'!$A$2),'Item_ Master'!$B$2:$B$14,0,0)</f>
        <v>Household</v>
      </c>
      <c r="F290">
        <v>9</v>
      </c>
      <c r="G290" s="3">
        <v>456.28</v>
      </c>
      <c r="H290" t="s">
        <v>12</v>
      </c>
      <c r="I290" s="2">
        <f t="shared" si="4"/>
        <v>4106.5199999999995</v>
      </c>
    </row>
    <row r="291" spans="1:9" x14ac:dyDescent="0.2">
      <c r="A291" s="1">
        <v>45381</v>
      </c>
      <c r="B291" t="s">
        <v>195</v>
      </c>
      <c r="C291" t="s">
        <v>233</v>
      </c>
      <c r="D291" t="s">
        <v>52</v>
      </c>
      <c r="E291" t="str" cm="1">
        <f t="array" ref="E291">_xlfn.XLOOKUP(D291,_xlfn.ANCHORARRAY('Item_ Master'!$A$2),'Item_ Master'!$B$2:$B$14,0,0)</f>
        <v>Dairy</v>
      </c>
      <c r="F291">
        <v>7</v>
      </c>
      <c r="G291" s="3">
        <v>483.38</v>
      </c>
      <c r="H291" t="s">
        <v>12</v>
      </c>
      <c r="I291" s="2">
        <f t="shared" si="4"/>
        <v>3383.66</v>
      </c>
    </row>
    <row r="292" spans="1:9" x14ac:dyDescent="0.2">
      <c r="A292" s="1">
        <v>45440</v>
      </c>
      <c r="B292" t="s">
        <v>91</v>
      </c>
      <c r="C292" t="s">
        <v>231</v>
      </c>
      <c r="D292" t="s">
        <v>40</v>
      </c>
      <c r="E292" t="str" cm="1">
        <f t="array" ref="E292">_xlfn.XLOOKUP(D292,_xlfn.ANCHORARRAY('Item_ Master'!$A$2),'Item_ Master'!$B$2:$B$14,0,0)</f>
        <v>Household</v>
      </c>
      <c r="F292">
        <v>10</v>
      </c>
      <c r="G292" s="3">
        <v>381.53</v>
      </c>
      <c r="H292" t="s">
        <v>20</v>
      </c>
      <c r="I292" s="2">
        <f t="shared" si="4"/>
        <v>3815.2999999999997</v>
      </c>
    </row>
    <row r="293" spans="1:9" x14ac:dyDescent="0.2">
      <c r="A293" s="1">
        <v>45620</v>
      </c>
      <c r="B293" t="s">
        <v>82</v>
      </c>
      <c r="C293" t="s">
        <v>232</v>
      </c>
      <c r="D293" t="s">
        <v>62</v>
      </c>
      <c r="E293" t="str" cm="1">
        <f t="array" ref="E293">_xlfn.XLOOKUP(D293,_xlfn.ANCHORARRAY('Item_ Master'!$A$2),'Item_ Master'!$B$2:$B$14,0,0)</f>
        <v>Produce</v>
      </c>
      <c r="F293">
        <v>3</v>
      </c>
      <c r="G293" s="3">
        <v>518.08000000000004</v>
      </c>
      <c r="H293" t="s">
        <v>20</v>
      </c>
      <c r="I293" s="2">
        <f t="shared" si="4"/>
        <v>1554.2400000000002</v>
      </c>
    </row>
    <row r="294" spans="1:9" x14ac:dyDescent="0.2">
      <c r="A294" s="1">
        <v>45349</v>
      </c>
      <c r="B294" t="s">
        <v>177</v>
      </c>
      <c r="C294" t="s">
        <v>233</v>
      </c>
      <c r="D294" t="s">
        <v>10</v>
      </c>
      <c r="E294" t="str" cm="1">
        <f t="array" ref="E294">_xlfn.XLOOKUP(D294,_xlfn.ANCHORARRAY('Item_ Master'!$A$2),'Item_ Master'!$B$2:$B$14,0,0)</f>
        <v>Produce</v>
      </c>
      <c r="F294">
        <v>8</v>
      </c>
      <c r="G294" s="3">
        <v>406.56</v>
      </c>
      <c r="H294" t="s">
        <v>43</v>
      </c>
      <c r="I294" s="2">
        <f t="shared" si="4"/>
        <v>3252.48</v>
      </c>
    </row>
    <row r="295" spans="1:9" x14ac:dyDescent="0.2">
      <c r="A295" s="1">
        <v>45464</v>
      </c>
      <c r="B295" t="s">
        <v>146</v>
      </c>
      <c r="C295" t="s">
        <v>232</v>
      </c>
      <c r="D295" t="s">
        <v>71</v>
      </c>
      <c r="E295" t="str" cm="1">
        <f t="array" ref="E295">_xlfn.XLOOKUP(D295,_xlfn.ANCHORARRAY('Item_ Master'!$A$2),'Item_ Master'!$B$2:$B$14,0,0)</f>
        <v>Household</v>
      </c>
      <c r="F295">
        <v>4</v>
      </c>
      <c r="G295" s="3">
        <v>146.52000000000001</v>
      </c>
      <c r="H295" t="s">
        <v>43</v>
      </c>
      <c r="I295" s="2">
        <f t="shared" si="4"/>
        <v>586.08000000000004</v>
      </c>
    </row>
    <row r="296" spans="1:9" x14ac:dyDescent="0.2">
      <c r="A296" s="1">
        <v>45510</v>
      </c>
      <c r="B296" t="s">
        <v>160</v>
      </c>
      <c r="C296" t="s">
        <v>235</v>
      </c>
      <c r="D296" t="s">
        <v>52</v>
      </c>
      <c r="E296" t="str" cm="1">
        <f t="array" ref="E296">_xlfn.XLOOKUP(D296,_xlfn.ANCHORARRAY('Item_ Master'!$A$2),'Item_ Master'!$B$2:$B$14,0,0)</f>
        <v>Dairy</v>
      </c>
      <c r="F296">
        <v>7</v>
      </c>
      <c r="G296" s="3">
        <v>418.09</v>
      </c>
      <c r="H296" t="s">
        <v>12</v>
      </c>
      <c r="I296" s="2">
        <f t="shared" si="4"/>
        <v>2926.6299999999997</v>
      </c>
    </row>
    <row r="297" spans="1:9" x14ac:dyDescent="0.2">
      <c r="A297" s="1">
        <v>45536</v>
      </c>
      <c r="B297" t="s">
        <v>196</v>
      </c>
      <c r="C297" t="s">
        <v>233</v>
      </c>
      <c r="D297" t="s">
        <v>52</v>
      </c>
      <c r="E297" t="str" cm="1">
        <f t="array" ref="E297">_xlfn.XLOOKUP(D297,_xlfn.ANCHORARRAY('Item_ Master'!$A$2),'Item_ Master'!$B$2:$B$14,0,0)</f>
        <v>Dairy</v>
      </c>
      <c r="F297">
        <v>5</v>
      </c>
      <c r="G297" s="3">
        <v>260.97000000000003</v>
      </c>
      <c r="H297" t="s">
        <v>20</v>
      </c>
      <c r="I297" s="2">
        <f t="shared" si="4"/>
        <v>1304.8500000000001</v>
      </c>
    </row>
    <row r="298" spans="1:9" x14ac:dyDescent="0.2">
      <c r="A298" s="1">
        <v>45460</v>
      </c>
      <c r="B298" t="s">
        <v>161</v>
      </c>
      <c r="C298" t="s">
        <v>232</v>
      </c>
      <c r="D298" t="s">
        <v>10</v>
      </c>
      <c r="E298" t="str" cm="1">
        <f t="array" ref="E298">_xlfn.XLOOKUP(D298,_xlfn.ANCHORARRAY('Item_ Master'!$A$2),'Item_ Master'!$B$2:$B$14,0,0)</f>
        <v>Produce</v>
      </c>
      <c r="F298">
        <v>10</v>
      </c>
      <c r="G298" s="3">
        <v>56.29</v>
      </c>
      <c r="H298" t="s">
        <v>43</v>
      </c>
      <c r="I298" s="2">
        <f t="shared" si="4"/>
        <v>562.9</v>
      </c>
    </row>
    <row r="299" spans="1:9" x14ac:dyDescent="0.2">
      <c r="A299" s="1">
        <v>45412</v>
      </c>
      <c r="B299" t="s">
        <v>64</v>
      </c>
      <c r="C299" t="s">
        <v>231</v>
      </c>
      <c r="D299" t="s">
        <v>62</v>
      </c>
      <c r="E299" t="str" cm="1">
        <f t="array" ref="E299">_xlfn.XLOOKUP(D299,_xlfn.ANCHORARRAY('Item_ Master'!$A$2),'Item_ Master'!$B$2:$B$14,0,0)</f>
        <v>Produce</v>
      </c>
      <c r="F299">
        <v>5</v>
      </c>
      <c r="G299" s="3">
        <v>137.84</v>
      </c>
      <c r="H299" t="s">
        <v>43</v>
      </c>
      <c r="I299" s="2">
        <f t="shared" si="4"/>
        <v>689.2</v>
      </c>
    </row>
    <row r="300" spans="1:9" x14ac:dyDescent="0.2">
      <c r="A300" s="1">
        <v>45451</v>
      </c>
      <c r="B300" t="s">
        <v>39</v>
      </c>
      <c r="C300" t="s">
        <v>231</v>
      </c>
      <c r="D300" t="s">
        <v>71</v>
      </c>
      <c r="E300" t="str" cm="1">
        <f t="array" ref="E300">_xlfn.XLOOKUP(D300,_xlfn.ANCHORARRAY('Item_ Master'!$A$2),'Item_ Master'!$B$2:$B$14,0,0)</f>
        <v>Household</v>
      </c>
      <c r="F300">
        <v>5</v>
      </c>
      <c r="G300" s="3">
        <v>252.15</v>
      </c>
      <c r="H300" t="s">
        <v>12</v>
      </c>
      <c r="I300" s="2">
        <f t="shared" si="4"/>
        <v>1260.75</v>
      </c>
    </row>
    <row r="301" spans="1:9" x14ac:dyDescent="0.2">
      <c r="A301" s="1">
        <v>45360</v>
      </c>
      <c r="B301" t="s">
        <v>124</v>
      </c>
      <c r="C301" t="s">
        <v>233</v>
      </c>
      <c r="D301" t="s">
        <v>62</v>
      </c>
      <c r="E301" t="str" cm="1">
        <f t="array" ref="E301">_xlfn.XLOOKUP(D301,_xlfn.ANCHORARRAY('Item_ Master'!$A$2),'Item_ Master'!$B$2:$B$14,0,0)</f>
        <v>Produce</v>
      </c>
      <c r="F301">
        <v>10</v>
      </c>
      <c r="G301" s="3">
        <v>255.49</v>
      </c>
      <c r="H301" t="s">
        <v>43</v>
      </c>
      <c r="I301" s="2">
        <f t="shared" si="4"/>
        <v>2554.9</v>
      </c>
    </row>
    <row r="302" spans="1:9" x14ac:dyDescent="0.2">
      <c r="A302" s="1">
        <v>45533</v>
      </c>
      <c r="B302" t="s">
        <v>197</v>
      </c>
      <c r="C302" t="s">
        <v>232</v>
      </c>
      <c r="D302" t="s">
        <v>71</v>
      </c>
      <c r="E302" t="str" cm="1">
        <f t="array" ref="E302">_xlfn.XLOOKUP(D302,_xlfn.ANCHORARRAY('Item_ Master'!$A$2),'Item_ Master'!$B$2:$B$14,0,0)</f>
        <v>Household</v>
      </c>
      <c r="F302">
        <v>4</v>
      </c>
      <c r="G302" s="3">
        <v>469.02</v>
      </c>
      <c r="H302" t="s">
        <v>43</v>
      </c>
      <c r="I302" s="2">
        <f t="shared" si="4"/>
        <v>1876.08</v>
      </c>
    </row>
    <row r="303" spans="1:9" x14ac:dyDescent="0.2">
      <c r="A303" s="1">
        <v>45333</v>
      </c>
      <c r="B303" t="s">
        <v>174</v>
      </c>
      <c r="C303" t="s">
        <v>234</v>
      </c>
      <c r="D303" t="s">
        <v>251</v>
      </c>
      <c r="E303" t="str" cm="1">
        <f t="array" ref="E303">_xlfn.XLOOKUP(D303,_xlfn.ANCHORARRAY('Item_ Master'!$A$2),'Item_ Master'!$B$2:$B$14,0,0)</f>
        <v>Household</v>
      </c>
      <c r="F303">
        <v>6</v>
      </c>
      <c r="G303" s="3">
        <v>92.96</v>
      </c>
      <c r="H303" t="s">
        <v>43</v>
      </c>
      <c r="I303" s="2">
        <f t="shared" si="4"/>
        <v>557.76</v>
      </c>
    </row>
    <row r="304" spans="1:9" x14ac:dyDescent="0.2">
      <c r="A304" s="1">
        <v>45572</v>
      </c>
      <c r="B304" t="s">
        <v>198</v>
      </c>
      <c r="C304" t="s">
        <v>233</v>
      </c>
      <c r="D304" t="s">
        <v>78</v>
      </c>
      <c r="E304" t="str" cm="1">
        <f t="array" ref="E304">_xlfn.XLOOKUP(D304,_xlfn.ANCHORARRAY('Item_ Master'!$A$2),'Item_ Master'!$B$2:$B$14,0,0)</f>
        <v>Personal Care</v>
      </c>
      <c r="F304">
        <v>9</v>
      </c>
      <c r="G304" s="3">
        <v>132.41999999999999</v>
      </c>
      <c r="H304" t="s">
        <v>20</v>
      </c>
      <c r="I304" s="2">
        <f t="shared" si="4"/>
        <v>1191.78</v>
      </c>
    </row>
    <row r="305" spans="1:9" x14ac:dyDescent="0.2">
      <c r="A305" s="1">
        <v>45518</v>
      </c>
      <c r="B305" t="s">
        <v>92</v>
      </c>
      <c r="C305" t="s">
        <v>233</v>
      </c>
      <c r="D305" t="s">
        <v>23</v>
      </c>
      <c r="E305" t="str" cm="1">
        <f t="array" ref="E305">_xlfn.XLOOKUP(D305,_xlfn.ANCHORARRAY('Item_ Master'!$A$2),'Item_ Master'!$B$2:$B$14,0,0)</f>
        <v>Produce</v>
      </c>
      <c r="F305">
        <v>10</v>
      </c>
      <c r="G305" s="3">
        <v>318.86</v>
      </c>
      <c r="H305" t="s">
        <v>43</v>
      </c>
      <c r="I305" s="2">
        <f t="shared" si="4"/>
        <v>3188.6000000000004</v>
      </c>
    </row>
    <row r="306" spans="1:9" x14ac:dyDescent="0.2">
      <c r="A306" s="1">
        <v>45320</v>
      </c>
      <c r="B306" t="s">
        <v>141</v>
      </c>
      <c r="C306" t="s">
        <v>233</v>
      </c>
      <c r="D306" t="s">
        <v>251</v>
      </c>
      <c r="E306" t="str" cm="1">
        <f t="array" ref="E306">_xlfn.XLOOKUP(D306,_xlfn.ANCHORARRAY('Item_ Master'!$A$2),'Item_ Master'!$B$2:$B$14,0,0)</f>
        <v>Household</v>
      </c>
      <c r="F306">
        <v>7</v>
      </c>
      <c r="G306" s="3">
        <v>301.24</v>
      </c>
      <c r="H306" t="s">
        <v>12</v>
      </c>
      <c r="I306" s="2">
        <f t="shared" si="4"/>
        <v>2108.6800000000003</v>
      </c>
    </row>
    <row r="307" spans="1:9" x14ac:dyDescent="0.2">
      <c r="A307" s="1">
        <v>45449</v>
      </c>
      <c r="B307" t="s">
        <v>199</v>
      </c>
      <c r="C307" t="s">
        <v>231</v>
      </c>
      <c r="D307" t="s">
        <v>25</v>
      </c>
      <c r="E307" t="str" cm="1">
        <f t="array" ref="E307">_xlfn.XLOOKUP(D307,_xlfn.ANCHORARRAY('Item_ Master'!$A$2),'Item_ Master'!$B$2:$B$14,0,0)</f>
        <v>Grocery</v>
      </c>
      <c r="F307">
        <v>5</v>
      </c>
      <c r="G307" s="3">
        <v>499.05</v>
      </c>
      <c r="H307" t="s">
        <v>43</v>
      </c>
      <c r="I307" s="2">
        <f t="shared" si="4"/>
        <v>2495.25</v>
      </c>
    </row>
    <row r="308" spans="1:9" x14ac:dyDescent="0.2">
      <c r="A308" s="1">
        <v>45329</v>
      </c>
      <c r="B308" t="s">
        <v>142</v>
      </c>
      <c r="C308" t="s">
        <v>234</v>
      </c>
      <c r="D308" t="s">
        <v>59</v>
      </c>
      <c r="E308" t="str" cm="1">
        <f t="array" ref="E308">_xlfn.XLOOKUP(D308,_xlfn.ANCHORARRAY('Item_ Master'!$A$2),'Item_ Master'!$B$2:$B$14,0,0)</f>
        <v>Produce</v>
      </c>
      <c r="F308">
        <v>2</v>
      </c>
      <c r="G308" s="3">
        <v>347.64</v>
      </c>
      <c r="H308" t="s">
        <v>12</v>
      </c>
      <c r="I308" s="2">
        <f t="shared" si="4"/>
        <v>695.28</v>
      </c>
    </row>
    <row r="309" spans="1:9" x14ac:dyDescent="0.2">
      <c r="A309" s="1">
        <v>45327</v>
      </c>
      <c r="B309" t="s">
        <v>139</v>
      </c>
      <c r="C309" t="s">
        <v>231</v>
      </c>
      <c r="D309" t="s">
        <v>40</v>
      </c>
      <c r="E309" t="str" cm="1">
        <f t="array" ref="E309">_xlfn.XLOOKUP(D309,_xlfn.ANCHORARRAY('Item_ Master'!$A$2),'Item_ Master'!$B$2:$B$14,0,0)</f>
        <v>Household</v>
      </c>
      <c r="F309">
        <v>7</v>
      </c>
      <c r="G309" s="3">
        <v>148.99</v>
      </c>
      <c r="H309" t="s">
        <v>12</v>
      </c>
      <c r="I309" s="2">
        <f t="shared" si="4"/>
        <v>1042.93</v>
      </c>
    </row>
    <row r="310" spans="1:9" x14ac:dyDescent="0.2">
      <c r="A310" s="1">
        <v>45622</v>
      </c>
      <c r="B310" t="s">
        <v>155</v>
      </c>
      <c r="C310" t="s">
        <v>235</v>
      </c>
      <c r="D310" t="s">
        <v>25</v>
      </c>
      <c r="E310" t="str" cm="1">
        <f t="array" ref="E310">_xlfn.XLOOKUP(D310,_xlfn.ANCHORARRAY('Item_ Master'!$A$2),'Item_ Master'!$B$2:$B$14,0,0)</f>
        <v>Grocery</v>
      </c>
      <c r="F310">
        <v>8</v>
      </c>
      <c r="G310" s="3">
        <v>528.29</v>
      </c>
      <c r="H310" t="s">
        <v>20</v>
      </c>
      <c r="I310" s="2">
        <f t="shared" si="4"/>
        <v>4226.32</v>
      </c>
    </row>
    <row r="311" spans="1:9" x14ac:dyDescent="0.2">
      <c r="A311" s="1">
        <v>45568</v>
      </c>
      <c r="B311" t="s">
        <v>83</v>
      </c>
      <c r="C311" t="s">
        <v>235</v>
      </c>
      <c r="D311" t="s">
        <v>52</v>
      </c>
      <c r="E311" t="str" cm="1">
        <f t="array" ref="E311">_xlfn.XLOOKUP(D311,_xlfn.ANCHORARRAY('Item_ Master'!$A$2),'Item_ Master'!$B$2:$B$14,0,0)</f>
        <v>Dairy</v>
      </c>
      <c r="F311">
        <v>3</v>
      </c>
      <c r="G311" s="3">
        <v>596.07000000000005</v>
      </c>
      <c r="H311" t="s">
        <v>20</v>
      </c>
      <c r="I311" s="2">
        <f t="shared" si="4"/>
        <v>1788.21</v>
      </c>
    </row>
    <row r="312" spans="1:9" x14ac:dyDescent="0.2">
      <c r="A312" s="1">
        <v>45406</v>
      </c>
      <c r="B312" t="s">
        <v>58</v>
      </c>
      <c r="C312" t="s">
        <v>231</v>
      </c>
      <c r="D312" t="s">
        <v>40</v>
      </c>
      <c r="E312" t="str" cm="1">
        <f t="array" ref="E312">_xlfn.XLOOKUP(D312,_xlfn.ANCHORARRAY('Item_ Master'!$A$2),'Item_ Master'!$B$2:$B$14,0,0)</f>
        <v>Household</v>
      </c>
      <c r="F312">
        <v>8</v>
      </c>
      <c r="G312" s="3">
        <v>420.42</v>
      </c>
      <c r="H312" t="s">
        <v>43</v>
      </c>
      <c r="I312" s="2">
        <f t="shared" si="4"/>
        <v>3363.36</v>
      </c>
    </row>
    <row r="313" spans="1:9" x14ac:dyDescent="0.2">
      <c r="A313" s="1">
        <v>45486</v>
      </c>
      <c r="B313" t="s">
        <v>200</v>
      </c>
      <c r="C313" t="s">
        <v>233</v>
      </c>
      <c r="D313" t="s">
        <v>62</v>
      </c>
      <c r="E313" t="str" cm="1">
        <f t="array" ref="E313">_xlfn.XLOOKUP(D313,_xlfn.ANCHORARRAY('Item_ Master'!$A$2),'Item_ Master'!$B$2:$B$14,0,0)</f>
        <v>Produce</v>
      </c>
      <c r="F313">
        <v>6</v>
      </c>
      <c r="G313" s="3">
        <v>135.32</v>
      </c>
      <c r="H313" t="s">
        <v>12</v>
      </c>
      <c r="I313" s="2">
        <f t="shared" si="4"/>
        <v>811.92</v>
      </c>
    </row>
    <row r="314" spans="1:9" x14ac:dyDescent="0.2">
      <c r="A314" s="1">
        <v>45349</v>
      </c>
      <c r="B314" t="s">
        <v>129</v>
      </c>
      <c r="C314" t="s">
        <v>234</v>
      </c>
      <c r="D314" t="s">
        <v>49</v>
      </c>
      <c r="E314" t="str" cm="1">
        <f t="array" ref="E314">_xlfn.XLOOKUP(D314,_xlfn.ANCHORARRAY('Item_ Master'!$A$2),'Item_ Master'!$B$2:$B$14,0,0)</f>
        <v>Personal Care</v>
      </c>
      <c r="F314">
        <v>1</v>
      </c>
      <c r="G314" s="3">
        <v>182.37</v>
      </c>
      <c r="H314" t="s">
        <v>12</v>
      </c>
      <c r="I314" s="2">
        <f t="shared" si="4"/>
        <v>182.37</v>
      </c>
    </row>
    <row r="315" spans="1:9" x14ac:dyDescent="0.2">
      <c r="A315" s="1">
        <v>45309</v>
      </c>
      <c r="B315" t="s">
        <v>103</v>
      </c>
      <c r="C315" t="s">
        <v>232</v>
      </c>
      <c r="D315" t="s">
        <v>71</v>
      </c>
      <c r="E315" t="str" cm="1">
        <f t="array" ref="E315">_xlfn.XLOOKUP(D315,_xlfn.ANCHORARRAY('Item_ Master'!$A$2),'Item_ Master'!$B$2:$B$14,0,0)</f>
        <v>Household</v>
      </c>
      <c r="F315">
        <v>1</v>
      </c>
      <c r="G315" s="3">
        <v>184.6</v>
      </c>
      <c r="H315" t="s">
        <v>12</v>
      </c>
      <c r="I315" s="2">
        <f t="shared" si="4"/>
        <v>184.6</v>
      </c>
    </row>
    <row r="316" spans="1:9" x14ac:dyDescent="0.2">
      <c r="A316" s="1">
        <v>45411</v>
      </c>
      <c r="B316" t="s">
        <v>201</v>
      </c>
      <c r="C316" t="s">
        <v>233</v>
      </c>
      <c r="D316" t="s">
        <v>52</v>
      </c>
      <c r="E316" t="str" cm="1">
        <f t="array" ref="E316">_xlfn.XLOOKUP(D316,_xlfn.ANCHORARRAY('Item_ Master'!$A$2),'Item_ Master'!$B$2:$B$14,0,0)</f>
        <v>Dairy</v>
      </c>
      <c r="F316">
        <v>3</v>
      </c>
      <c r="G316" s="3">
        <v>327.14</v>
      </c>
      <c r="H316" t="s">
        <v>20</v>
      </c>
      <c r="I316" s="2">
        <f t="shared" si="4"/>
        <v>981.42</v>
      </c>
    </row>
    <row r="317" spans="1:9" x14ac:dyDescent="0.2">
      <c r="A317" s="1">
        <v>45586</v>
      </c>
      <c r="B317" t="s">
        <v>202</v>
      </c>
      <c r="C317" t="s">
        <v>232</v>
      </c>
      <c r="D317" t="s">
        <v>49</v>
      </c>
      <c r="E317" t="str" cm="1">
        <f t="array" ref="E317">_xlfn.XLOOKUP(D317,_xlfn.ANCHORARRAY('Item_ Master'!$A$2),'Item_ Master'!$B$2:$B$14,0,0)</f>
        <v>Personal Care</v>
      </c>
      <c r="F317">
        <v>6</v>
      </c>
      <c r="G317" s="3">
        <v>180.3</v>
      </c>
      <c r="H317" t="s">
        <v>12</v>
      </c>
      <c r="I317" s="2">
        <f t="shared" si="4"/>
        <v>1081.8000000000002</v>
      </c>
    </row>
    <row r="318" spans="1:9" x14ac:dyDescent="0.2">
      <c r="A318" s="1">
        <v>45558</v>
      </c>
      <c r="B318" t="s">
        <v>154</v>
      </c>
      <c r="C318" t="s">
        <v>234</v>
      </c>
      <c r="D318" t="s">
        <v>40</v>
      </c>
      <c r="E318" t="str" cm="1">
        <f t="array" ref="E318">_xlfn.XLOOKUP(D318,_xlfn.ANCHORARRAY('Item_ Master'!$A$2),'Item_ Master'!$B$2:$B$14,0,0)</f>
        <v>Household</v>
      </c>
      <c r="F318">
        <v>5</v>
      </c>
      <c r="G318" s="3">
        <v>83.53</v>
      </c>
      <c r="H318" t="s">
        <v>43</v>
      </c>
      <c r="I318" s="2">
        <f t="shared" si="4"/>
        <v>417.65</v>
      </c>
    </row>
    <row r="319" spans="1:9" x14ac:dyDescent="0.2">
      <c r="A319" s="1">
        <v>45381</v>
      </c>
      <c r="B319" t="s">
        <v>30</v>
      </c>
      <c r="C319" t="s">
        <v>234</v>
      </c>
      <c r="D319" t="s">
        <v>28</v>
      </c>
      <c r="E319" t="str" cm="1">
        <f t="array" ref="E319">_xlfn.XLOOKUP(D319,_xlfn.ANCHORARRAY('Item_ Master'!$A$2),'Item_ Master'!$B$2:$B$14,0,0)</f>
        <v>Household</v>
      </c>
      <c r="F319">
        <v>8</v>
      </c>
      <c r="G319" s="3">
        <v>75.790000000000006</v>
      </c>
      <c r="H319" t="s">
        <v>20</v>
      </c>
      <c r="I319" s="2">
        <f t="shared" si="4"/>
        <v>606.32000000000005</v>
      </c>
    </row>
    <row r="320" spans="1:9" x14ac:dyDescent="0.2">
      <c r="A320" s="1">
        <v>45487</v>
      </c>
      <c r="B320" t="s">
        <v>174</v>
      </c>
      <c r="C320" t="s">
        <v>235</v>
      </c>
      <c r="D320" t="s">
        <v>23</v>
      </c>
      <c r="E320" t="str" cm="1">
        <f t="array" ref="E320">_xlfn.XLOOKUP(D320,_xlfn.ANCHORARRAY('Item_ Master'!$A$2),'Item_ Master'!$B$2:$B$14,0,0)</f>
        <v>Produce</v>
      </c>
      <c r="F320">
        <v>7</v>
      </c>
      <c r="G320" s="3">
        <v>274.54000000000002</v>
      </c>
      <c r="H320" t="s">
        <v>20</v>
      </c>
      <c r="I320" s="2">
        <f t="shared" si="4"/>
        <v>1921.7800000000002</v>
      </c>
    </row>
    <row r="321" spans="1:9" x14ac:dyDescent="0.2">
      <c r="A321" s="1">
        <v>45567</v>
      </c>
      <c r="B321" t="s">
        <v>96</v>
      </c>
      <c r="C321" t="s">
        <v>233</v>
      </c>
      <c r="D321" t="s">
        <v>40</v>
      </c>
      <c r="E321" t="str" cm="1">
        <f t="array" ref="E321">_xlfn.XLOOKUP(D321,_xlfn.ANCHORARRAY('Item_ Master'!$A$2),'Item_ Master'!$B$2:$B$14,0,0)</f>
        <v>Household</v>
      </c>
      <c r="F321">
        <v>5</v>
      </c>
      <c r="G321" s="3">
        <v>521.65</v>
      </c>
      <c r="H321" t="s">
        <v>12</v>
      </c>
      <c r="I321" s="2">
        <f t="shared" si="4"/>
        <v>2608.25</v>
      </c>
    </row>
    <row r="322" spans="1:9" x14ac:dyDescent="0.2">
      <c r="A322" s="1">
        <v>45321</v>
      </c>
      <c r="B322" t="s">
        <v>167</v>
      </c>
      <c r="C322" t="s">
        <v>234</v>
      </c>
      <c r="D322" t="s">
        <v>25</v>
      </c>
      <c r="E322" t="str" cm="1">
        <f t="array" ref="E322">_xlfn.XLOOKUP(D322,_xlfn.ANCHORARRAY('Item_ Master'!$A$2),'Item_ Master'!$B$2:$B$14,0,0)</f>
        <v>Grocery</v>
      </c>
      <c r="F322">
        <v>9</v>
      </c>
      <c r="G322" s="3">
        <v>341.5</v>
      </c>
      <c r="H322" t="s">
        <v>20</v>
      </c>
      <c r="I322" s="2">
        <f t="shared" si="4"/>
        <v>3073.5</v>
      </c>
    </row>
    <row r="323" spans="1:9" x14ac:dyDescent="0.2">
      <c r="A323" s="1">
        <v>45396</v>
      </c>
      <c r="B323" t="s">
        <v>177</v>
      </c>
      <c r="C323" t="s">
        <v>231</v>
      </c>
      <c r="D323" t="s">
        <v>62</v>
      </c>
      <c r="E323" t="str" cm="1">
        <f t="array" ref="E323">_xlfn.XLOOKUP(D323,_xlfn.ANCHORARRAY('Item_ Master'!$A$2),'Item_ Master'!$B$2:$B$14,0,0)</f>
        <v>Produce</v>
      </c>
      <c r="F323">
        <v>6</v>
      </c>
      <c r="G323" s="3">
        <v>100.86</v>
      </c>
      <c r="H323" t="s">
        <v>43</v>
      </c>
      <c r="I323" s="2">
        <f t="shared" ref="I323:I386" si="5">F323*G323</f>
        <v>605.16</v>
      </c>
    </row>
    <row r="324" spans="1:9" x14ac:dyDescent="0.2">
      <c r="A324" s="1">
        <v>45318</v>
      </c>
      <c r="B324" t="s">
        <v>89</v>
      </c>
      <c r="C324" t="s">
        <v>234</v>
      </c>
      <c r="D324" t="s">
        <v>71</v>
      </c>
      <c r="E324" t="str" cm="1">
        <f t="array" ref="E324">_xlfn.XLOOKUP(D324,_xlfn.ANCHORARRAY('Item_ Master'!$A$2),'Item_ Master'!$B$2:$B$14,0,0)</f>
        <v>Household</v>
      </c>
      <c r="F324">
        <v>10</v>
      </c>
      <c r="G324" s="3">
        <v>381.61</v>
      </c>
      <c r="H324" t="s">
        <v>12</v>
      </c>
      <c r="I324" s="2">
        <f t="shared" si="5"/>
        <v>3816.1000000000004</v>
      </c>
    </row>
    <row r="325" spans="1:9" x14ac:dyDescent="0.2">
      <c r="A325" s="1">
        <v>45592</v>
      </c>
      <c r="B325" t="s">
        <v>199</v>
      </c>
      <c r="C325" t="s">
        <v>232</v>
      </c>
      <c r="D325" t="s">
        <v>57</v>
      </c>
      <c r="E325" t="str" cm="1">
        <f t="array" ref="E325">_xlfn.XLOOKUP(D325,_xlfn.ANCHORARRAY('Item_ Master'!$A$2),'Item_ Master'!$B$2:$B$14,0,0)</f>
        <v>Bakery</v>
      </c>
      <c r="F325">
        <v>8</v>
      </c>
      <c r="G325" s="3">
        <v>164.89</v>
      </c>
      <c r="H325" t="s">
        <v>20</v>
      </c>
      <c r="I325" s="2">
        <f t="shared" si="5"/>
        <v>1319.12</v>
      </c>
    </row>
    <row r="326" spans="1:9" x14ac:dyDescent="0.2">
      <c r="A326" s="1">
        <v>45299</v>
      </c>
      <c r="B326" t="s">
        <v>44</v>
      </c>
      <c r="C326" t="s">
        <v>233</v>
      </c>
      <c r="D326" t="s">
        <v>10</v>
      </c>
      <c r="E326" t="str" cm="1">
        <f t="array" ref="E326">_xlfn.XLOOKUP(D326,_xlfn.ANCHORARRAY('Item_ Master'!$A$2),'Item_ Master'!$B$2:$B$14,0,0)</f>
        <v>Produce</v>
      </c>
      <c r="F326">
        <v>2</v>
      </c>
      <c r="G326" s="3">
        <v>460.78</v>
      </c>
      <c r="H326" t="s">
        <v>20</v>
      </c>
      <c r="I326" s="2">
        <f t="shared" si="5"/>
        <v>921.56</v>
      </c>
    </row>
    <row r="327" spans="1:9" x14ac:dyDescent="0.2">
      <c r="A327" s="1">
        <v>45601</v>
      </c>
      <c r="B327" t="s">
        <v>106</v>
      </c>
      <c r="C327" t="s">
        <v>233</v>
      </c>
      <c r="D327" t="s">
        <v>25</v>
      </c>
      <c r="E327" t="str" cm="1">
        <f t="array" ref="E327">_xlfn.XLOOKUP(D327,_xlfn.ANCHORARRAY('Item_ Master'!$A$2),'Item_ Master'!$B$2:$B$14,0,0)</f>
        <v>Grocery</v>
      </c>
      <c r="F327">
        <v>4</v>
      </c>
      <c r="G327" s="3">
        <v>353.64</v>
      </c>
      <c r="H327" t="s">
        <v>20</v>
      </c>
      <c r="I327" s="2">
        <f t="shared" si="5"/>
        <v>1414.56</v>
      </c>
    </row>
    <row r="328" spans="1:9" x14ac:dyDescent="0.2">
      <c r="A328" s="1">
        <v>45565</v>
      </c>
      <c r="B328" t="s">
        <v>117</v>
      </c>
      <c r="C328" t="s">
        <v>235</v>
      </c>
      <c r="D328" t="s">
        <v>40</v>
      </c>
      <c r="E328" t="str" cm="1">
        <f t="array" ref="E328">_xlfn.XLOOKUP(D328,_xlfn.ANCHORARRAY('Item_ Master'!$A$2),'Item_ Master'!$B$2:$B$14,0,0)</f>
        <v>Household</v>
      </c>
      <c r="F328">
        <v>5</v>
      </c>
      <c r="G328" s="3">
        <v>247.8</v>
      </c>
      <c r="H328" t="s">
        <v>20</v>
      </c>
      <c r="I328" s="2">
        <f t="shared" si="5"/>
        <v>1239</v>
      </c>
    </row>
    <row r="329" spans="1:9" x14ac:dyDescent="0.2">
      <c r="A329" s="1">
        <v>45532</v>
      </c>
      <c r="B329" t="s">
        <v>21</v>
      </c>
      <c r="C329" t="s">
        <v>235</v>
      </c>
      <c r="D329" t="s">
        <v>57</v>
      </c>
      <c r="E329" t="str" cm="1">
        <f t="array" ref="E329">_xlfn.XLOOKUP(D329,_xlfn.ANCHORARRAY('Item_ Master'!$A$2),'Item_ Master'!$B$2:$B$14,0,0)</f>
        <v>Bakery</v>
      </c>
      <c r="F329">
        <v>6</v>
      </c>
      <c r="G329" s="3">
        <v>222.11</v>
      </c>
      <c r="H329" t="s">
        <v>12</v>
      </c>
      <c r="I329" s="2">
        <f t="shared" si="5"/>
        <v>1332.66</v>
      </c>
    </row>
    <row r="330" spans="1:9" x14ac:dyDescent="0.2">
      <c r="A330" s="1">
        <v>45405</v>
      </c>
      <c r="B330" t="s">
        <v>203</v>
      </c>
      <c r="C330" t="s">
        <v>233</v>
      </c>
      <c r="D330" t="s">
        <v>52</v>
      </c>
      <c r="E330" t="str" cm="1">
        <f t="array" ref="E330">_xlfn.XLOOKUP(D330,_xlfn.ANCHORARRAY('Item_ Master'!$A$2),'Item_ Master'!$B$2:$B$14,0,0)</f>
        <v>Dairy</v>
      </c>
      <c r="F330">
        <v>5</v>
      </c>
      <c r="G330" s="3">
        <v>354.32</v>
      </c>
      <c r="H330" t="s">
        <v>43</v>
      </c>
      <c r="I330" s="2">
        <f t="shared" si="5"/>
        <v>1771.6</v>
      </c>
    </row>
    <row r="331" spans="1:9" x14ac:dyDescent="0.2">
      <c r="A331" s="1">
        <v>45505</v>
      </c>
      <c r="B331" t="s">
        <v>146</v>
      </c>
      <c r="C331" t="s">
        <v>233</v>
      </c>
      <c r="D331" t="s">
        <v>57</v>
      </c>
      <c r="E331" t="str" cm="1">
        <f t="array" ref="E331">_xlfn.XLOOKUP(D331,_xlfn.ANCHORARRAY('Item_ Master'!$A$2),'Item_ Master'!$B$2:$B$14,0,0)</f>
        <v>Bakery</v>
      </c>
      <c r="F331">
        <v>6</v>
      </c>
      <c r="G331" s="3">
        <v>176.51</v>
      </c>
      <c r="H331" t="s">
        <v>43</v>
      </c>
      <c r="I331" s="2">
        <f t="shared" si="5"/>
        <v>1059.06</v>
      </c>
    </row>
    <row r="332" spans="1:9" x14ac:dyDescent="0.2">
      <c r="A332" s="1">
        <v>45547</v>
      </c>
      <c r="B332" t="s">
        <v>204</v>
      </c>
      <c r="C332" t="s">
        <v>235</v>
      </c>
      <c r="D332" t="s">
        <v>40</v>
      </c>
      <c r="E332" t="str" cm="1">
        <f t="array" ref="E332">_xlfn.XLOOKUP(D332,_xlfn.ANCHORARRAY('Item_ Master'!$A$2),'Item_ Master'!$B$2:$B$14,0,0)</f>
        <v>Household</v>
      </c>
      <c r="F332">
        <v>8</v>
      </c>
      <c r="G332" s="3">
        <v>581.58000000000004</v>
      </c>
      <c r="H332" t="s">
        <v>43</v>
      </c>
      <c r="I332" s="2">
        <f t="shared" si="5"/>
        <v>4652.6400000000003</v>
      </c>
    </row>
    <row r="333" spans="1:9" x14ac:dyDescent="0.2">
      <c r="A333" s="1">
        <v>45527</v>
      </c>
      <c r="B333" t="s">
        <v>147</v>
      </c>
      <c r="C333" t="s">
        <v>235</v>
      </c>
      <c r="D333" t="s">
        <v>57</v>
      </c>
      <c r="E333" t="str" cm="1">
        <f t="array" ref="E333">_xlfn.XLOOKUP(D333,_xlfn.ANCHORARRAY('Item_ Master'!$A$2),'Item_ Master'!$B$2:$B$14,0,0)</f>
        <v>Bakery</v>
      </c>
      <c r="F333">
        <v>3</v>
      </c>
      <c r="G333" s="3">
        <v>446.17</v>
      </c>
      <c r="H333" t="s">
        <v>20</v>
      </c>
      <c r="I333" s="2">
        <f t="shared" si="5"/>
        <v>1338.51</v>
      </c>
    </row>
    <row r="334" spans="1:9" x14ac:dyDescent="0.2">
      <c r="A334" s="1">
        <v>45569</v>
      </c>
      <c r="B334" t="s">
        <v>205</v>
      </c>
      <c r="C334" t="s">
        <v>231</v>
      </c>
      <c r="D334" t="s">
        <v>251</v>
      </c>
      <c r="E334" t="str" cm="1">
        <f t="array" ref="E334">_xlfn.XLOOKUP(D334,_xlfn.ANCHORARRAY('Item_ Master'!$A$2),'Item_ Master'!$B$2:$B$14,0,0)</f>
        <v>Household</v>
      </c>
      <c r="F334">
        <v>1</v>
      </c>
      <c r="G334" s="3">
        <v>511.49</v>
      </c>
      <c r="H334" t="s">
        <v>12</v>
      </c>
      <c r="I334" s="2">
        <f t="shared" si="5"/>
        <v>511.49</v>
      </c>
    </row>
    <row r="335" spans="1:9" x14ac:dyDescent="0.2">
      <c r="A335" s="1">
        <v>45316</v>
      </c>
      <c r="B335" t="s">
        <v>127</v>
      </c>
      <c r="C335" t="s">
        <v>231</v>
      </c>
      <c r="D335" t="s">
        <v>25</v>
      </c>
      <c r="E335" t="str" cm="1">
        <f t="array" ref="E335">_xlfn.XLOOKUP(D335,_xlfn.ANCHORARRAY('Item_ Master'!$A$2),'Item_ Master'!$B$2:$B$14,0,0)</f>
        <v>Grocery</v>
      </c>
      <c r="F335">
        <v>3</v>
      </c>
      <c r="G335" s="3">
        <v>513.4</v>
      </c>
      <c r="H335" t="s">
        <v>12</v>
      </c>
      <c r="I335" s="2">
        <f t="shared" si="5"/>
        <v>1540.1999999999998</v>
      </c>
    </row>
    <row r="336" spans="1:9" x14ac:dyDescent="0.2">
      <c r="A336" s="1">
        <v>45369</v>
      </c>
      <c r="B336" t="s">
        <v>80</v>
      </c>
      <c r="C336" t="s">
        <v>233</v>
      </c>
      <c r="D336" t="s">
        <v>251</v>
      </c>
      <c r="E336" t="str" cm="1">
        <f t="array" ref="E336">_xlfn.XLOOKUP(D336,_xlfn.ANCHORARRAY('Item_ Master'!$A$2),'Item_ Master'!$B$2:$B$14,0,0)</f>
        <v>Household</v>
      </c>
      <c r="F336">
        <v>8</v>
      </c>
      <c r="G336" s="3">
        <v>255.26</v>
      </c>
      <c r="H336" t="s">
        <v>43</v>
      </c>
      <c r="I336" s="2">
        <f t="shared" si="5"/>
        <v>2042.08</v>
      </c>
    </row>
    <row r="337" spans="1:9" x14ac:dyDescent="0.2">
      <c r="A337" s="1">
        <v>45607</v>
      </c>
      <c r="B337" t="s">
        <v>150</v>
      </c>
      <c r="C337" t="s">
        <v>234</v>
      </c>
      <c r="D337" t="s">
        <v>52</v>
      </c>
      <c r="E337" t="str" cm="1">
        <f t="array" ref="E337">_xlfn.XLOOKUP(D337,_xlfn.ANCHORARRAY('Item_ Master'!$A$2),'Item_ Master'!$B$2:$B$14,0,0)</f>
        <v>Dairy</v>
      </c>
      <c r="F337">
        <v>1</v>
      </c>
      <c r="G337" s="3">
        <v>342.72</v>
      </c>
      <c r="H337" t="s">
        <v>20</v>
      </c>
      <c r="I337" s="2">
        <f t="shared" si="5"/>
        <v>342.72</v>
      </c>
    </row>
    <row r="338" spans="1:9" x14ac:dyDescent="0.2">
      <c r="A338" s="1">
        <v>45563</v>
      </c>
      <c r="B338" t="s">
        <v>178</v>
      </c>
      <c r="C338" t="s">
        <v>235</v>
      </c>
      <c r="D338" t="s">
        <v>28</v>
      </c>
      <c r="E338" t="str" cm="1">
        <f t="array" ref="E338">_xlfn.XLOOKUP(D338,_xlfn.ANCHORARRAY('Item_ Master'!$A$2),'Item_ Master'!$B$2:$B$14,0,0)</f>
        <v>Household</v>
      </c>
      <c r="F338">
        <v>5</v>
      </c>
      <c r="G338" s="3">
        <v>59.43</v>
      </c>
      <c r="H338" t="s">
        <v>43</v>
      </c>
      <c r="I338" s="2">
        <f t="shared" si="5"/>
        <v>297.14999999999998</v>
      </c>
    </row>
    <row r="339" spans="1:9" x14ac:dyDescent="0.2">
      <c r="A339" s="1">
        <v>45383</v>
      </c>
      <c r="B339" t="s">
        <v>206</v>
      </c>
      <c r="C339" t="s">
        <v>231</v>
      </c>
      <c r="D339" t="s">
        <v>251</v>
      </c>
      <c r="E339" t="str" cm="1">
        <f t="array" ref="E339">_xlfn.XLOOKUP(D339,_xlfn.ANCHORARRAY('Item_ Master'!$A$2),'Item_ Master'!$B$2:$B$14,0,0)</f>
        <v>Household</v>
      </c>
      <c r="F339">
        <v>3</v>
      </c>
      <c r="G339" s="3">
        <v>182.53</v>
      </c>
      <c r="H339" t="s">
        <v>43</v>
      </c>
      <c r="I339" s="2">
        <f t="shared" si="5"/>
        <v>547.59</v>
      </c>
    </row>
    <row r="340" spans="1:9" x14ac:dyDescent="0.2">
      <c r="A340" s="1">
        <v>45473</v>
      </c>
      <c r="B340" t="s">
        <v>89</v>
      </c>
      <c r="C340" t="s">
        <v>234</v>
      </c>
      <c r="D340" t="s">
        <v>52</v>
      </c>
      <c r="E340" t="str" cm="1">
        <f t="array" ref="E340">_xlfn.XLOOKUP(D340,_xlfn.ANCHORARRAY('Item_ Master'!$A$2),'Item_ Master'!$B$2:$B$14,0,0)</f>
        <v>Dairy</v>
      </c>
      <c r="F340">
        <v>6</v>
      </c>
      <c r="G340" s="3">
        <v>577.61</v>
      </c>
      <c r="H340" t="s">
        <v>20</v>
      </c>
      <c r="I340" s="2">
        <f t="shared" si="5"/>
        <v>3465.66</v>
      </c>
    </row>
    <row r="341" spans="1:9" x14ac:dyDescent="0.2">
      <c r="A341" s="1">
        <v>45407</v>
      </c>
      <c r="B341" t="s">
        <v>126</v>
      </c>
      <c r="C341" t="s">
        <v>231</v>
      </c>
      <c r="D341" t="s">
        <v>71</v>
      </c>
      <c r="E341" t="str" cm="1">
        <f t="array" ref="E341">_xlfn.XLOOKUP(D341,_xlfn.ANCHORARRAY('Item_ Master'!$A$2),'Item_ Master'!$B$2:$B$14,0,0)</f>
        <v>Household</v>
      </c>
      <c r="F341">
        <v>1</v>
      </c>
      <c r="G341" s="3">
        <v>101.43</v>
      </c>
      <c r="H341" t="s">
        <v>20</v>
      </c>
      <c r="I341" s="2">
        <f t="shared" si="5"/>
        <v>101.43</v>
      </c>
    </row>
    <row r="342" spans="1:9" x14ac:dyDescent="0.2">
      <c r="A342" s="1">
        <v>45535</v>
      </c>
      <c r="B342" t="s">
        <v>207</v>
      </c>
      <c r="C342" t="s">
        <v>231</v>
      </c>
      <c r="D342" t="s">
        <v>23</v>
      </c>
      <c r="E342" t="str" cm="1">
        <f t="array" ref="E342">_xlfn.XLOOKUP(D342,_xlfn.ANCHORARRAY('Item_ Master'!$A$2),'Item_ Master'!$B$2:$B$14,0,0)</f>
        <v>Produce</v>
      </c>
      <c r="F342">
        <v>3</v>
      </c>
      <c r="G342" s="3">
        <v>95.48</v>
      </c>
      <c r="H342" t="s">
        <v>20</v>
      </c>
      <c r="I342" s="2">
        <f t="shared" si="5"/>
        <v>286.44</v>
      </c>
    </row>
    <row r="343" spans="1:9" x14ac:dyDescent="0.2">
      <c r="A343" s="1">
        <v>45461</v>
      </c>
      <c r="B343" t="s">
        <v>113</v>
      </c>
      <c r="C343" t="s">
        <v>231</v>
      </c>
      <c r="D343" t="s">
        <v>251</v>
      </c>
      <c r="E343" t="str" cm="1">
        <f t="array" ref="E343">_xlfn.XLOOKUP(D343,_xlfn.ANCHORARRAY('Item_ Master'!$A$2),'Item_ Master'!$B$2:$B$14,0,0)</f>
        <v>Household</v>
      </c>
      <c r="F343">
        <v>1</v>
      </c>
      <c r="G343" s="3">
        <v>176.37</v>
      </c>
      <c r="H343" t="s">
        <v>43</v>
      </c>
      <c r="I343" s="2">
        <f t="shared" si="5"/>
        <v>176.37</v>
      </c>
    </row>
    <row r="344" spans="1:9" x14ac:dyDescent="0.2">
      <c r="A344" s="1">
        <v>45535</v>
      </c>
      <c r="B344" t="s">
        <v>105</v>
      </c>
      <c r="C344" t="s">
        <v>231</v>
      </c>
      <c r="D344" t="s">
        <v>52</v>
      </c>
      <c r="E344" t="str" cm="1">
        <f t="array" ref="E344">_xlfn.XLOOKUP(D344,_xlfn.ANCHORARRAY('Item_ Master'!$A$2),'Item_ Master'!$B$2:$B$14,0,0)</f>
        <v>Dairy</v>
      </c>
      <c r="F344">
        <v>5</v>
      </c>
      <c r="G344" s="3">
        <v>544.62</v>
      </c>
      <c r="H344" t="s">
        <v>43</v>
      </c>
      <c r="I344" s="2">
        <f t="shared" si="5"/>
        <v>2723.1</v>
      </c>
    </row>
    <row r="345" spans="1:9" x14ac:dyDescent="0.2">
      <c r="A345" s="1">
        <v>45383</v>
      </c>
      <c r="B345" t="s">
        <v>41</v>
      </c>
      <c r="C345" t="s">
        <v>231</v>
      </c>
      <c r="D345" t="s">
        <v>57</v>
      </c>
      <c r="E345" t="str" cm="1">
        <f t="array" ref="E345">_xlfn.XLOOKUP(D345,_xlfn.ANCHORARRAY('Item_ Master'!$A$2),'Item_ Master'!$B$2:$B$14,0,0)</f>
        <v>Bakery</v>
      </c>
      <c r="F345">
        <v>10</v>
      </c>
      <c r="G345" s="3">
        <v>129.31</v>
      </c>
      <c r="H345" t="s">
        <v>43</v>
      </c>
      <c r="I345" s="2">
        <f t="shared" si="5"/>
        <v>1293.0999999999999</v>
      </c>
    </row>
    <row r="346" spans="1:9" x14ac:dyDescent="0.2">
      <c r="A346" s="1">
        <v>45331</v>
      </c>
      <c r="B346" t="s">
        <v>126</v>
      </c>
      <c r="C346" t="s">
        <v>233</v>
      </c>
      <c r="D346" t="s">
        <v>78</v>
      </c>
      <c r="E346" t="str" cm="1">
        <f t="array" ref="E346">_xlfn.XLOOKUP(D346,_xlfn.ANCHORARRAY('Item_ Master'!$A$2),'Item_ Master'!$B$2:$B$14,0,0)</f>
        <v>Personal Care</v>
      </c>
      <c r="F346">
        <v>4</v>
      </c>
      <c r="G346" s="3">
        <v>361.68</v>
      </c>
      <c r="H346" t="s">
        <v>20</v>
      </c>
      <c r="I346" s="2">
        <f t="shared" si="5"/>
        <v>1446.72</v>
      </c>
    </row>
    <row r="347" spans="1:9" x14ac:dyDescent="0.2">
      <c r="A347" s="1">
        <v>45568</v>
      </c>
      <c r="B347" t="s">
        <v>177</v>
      </c>
      <c r="C347" t="s">
        <v>234</v>
      </c>
      <c r="D347" t="s">
        <v>10</v>
      </c>
      <c r="E347" t="str" cm="1">
        <f t="array" ref="E347">_xlfn.XLOOKUP(D347,_xlfn.ANCHORARRAY('Item_ Master'!$A$2),'Item_ Master'!$B$2:$B$14,0,0)</f>
        <v>Produce</v>
      </c>
      <c r="F347">
        <v>3</v>
      </c>
      <c r="G347" s="3">
        <v>484.77</v>
      </c>
      <c r="H347" t="s">
        <v>43</v>
      </c>
      <c r="I347" s="2">
        <f t="shared" si="5"/>
        <v>1454.31</v>
      </c>
    </row>
    <row r="348" spans="1:9" x14ac:dyDescent="0.2">
      <c r="A348" s="1">
        <v>45548</v>
      </c>
      <c r="B348" t="s">
        <v>185</v>
      </c>
      <c r="C348" t="s">
        <v>235</v>
      </c>
      <c r="D348" t="s">
        <v>52</v>
      </c>
      <c r="E348" t="str" cm="1">
        <f t="array" ref="E348">_xlfn.XLOOKUP(D348,_xlfn.ANCHORARRAY('Item_ Master'!$A$2),'Item_ Master'!$B$2:$B$14,0,0)</f>
        <v>Dairy</v>
      </c>
      <c r="F348">
        <v>2</v>
      </c>
      <c r="G348" s="3">
        <v>290.39999999999998</v>
      </c>
      <c r="H348" t="s">
        <v>12</v>
      </c>
      <c r="I348" s="2">
        <f t="shared" si="5"/>
        <v>580.79999999999995</v>
      </c>
    </row>
    <row r="349" spans="1:9" x14ac:dyDescent="0.2">
      <c r="A349" s="1">
        <v>45606</v>
      </c>
      <c r="B349" t="s">
        <v>102</v>
      </c>
      <c r="C349" t="s">
        <v>234</v>
      </c>
      <c r="D349" t="s">
        <v>59</v>
      </c>
      <c r="E349" t="str" cm="1">
        <f t="array" ref="E349">_xlfn.XLOOKUP(D349,_xlfn.ANCHORARRAY('Item_ Master'!$A$2),'Item_ Master'!$B$2:$B$14,0,0)</f>
        <v>Produce</v>
      </c>
      <c r="F349">
        <v>1</v>
      </c>
      <c r="G349" s="3">
        <v>398.77</v>
      </c>
      <c r="H349" t="s">
        <v>20</v>
      </c>
      <c r="I349" s="2">
        <f t="shared" si="5"/>
        <v>398.77</v>
      </c>
    </row>
    <row r="350" spans="1:9" x14ac:dyDescent="0.2">
      <c r="A350" s="1">
        <v>45474</v>
      </c>
      <c r="B350" t="s">
        <v>128</v>
      </c>
      <c r="C350" t="s">
        <v>234</v>
      </c>
      <c r="D350" t="s">
        <v>25</v>
      </c>
      <c r="E350" t="str" cm="1">
        <f t="array" ref="E350">_xlfn.XLOOKUP(D350,_xlfn.ANCHORARRAY('Item_ Master'!$A$2),'Item_ Master'!$B$2:$B$14,0,0)</f>
        <v>Grocery</v>
      </c>
      <c r="F350">
        <v>3</v>
      </c>
      <c r="G350" s="3">
        <v>423.83</v>
      </c>
      <c r="H350" t="s">
        <v>43</v>
      </c>
      <c r="I350" s="2">
        <f t="shared" si="5"/>
        <v>1271.49</v>
      </c>
    </row>
    <row r="351" spans="1:9" x14ac:dyDescent="0.2">
      <c r="A351" s="1">
        <v>45608</v>
      </c>
      <c r="B351" t="s">
        <v>146</v>
      </c>
      <c r="C351" t="s">
        <v>233</v>
      </c>
      <c r="D351" t="s">
        <v>23</v>
      </c>
      <c r="E351" t="str" cm="1">
        <f t="array" ref="E351">_xlfn.XLOOKUP(D351,_xlfn.ANCHORARRAY('Item_ Master'!$A$2),'Item_ Master'!$B$2:$B$14,0,0)</f>
        <v>Produce</v>
      </c>
      <c r="F351">
        <v>2</v>
      </c>
      <c r="G351" s="3">
        <v>95.12</v>
      </c>
      <c r="H351" t="s">
        <v>12</v>
      </c>
      <c r="I351" s="2">
        <f t="shared" si="5"/>
        <v>190.24</v>
      </c>
    </row>
    <row r="352" spans="1:9" x14ac:dyDescent="0.2">
      <c r="A352" s="1">
        <v>45616</v>
      </c>
      <c r="B352" t="s">
        <v>164</v>
      </c>
      <c r="C352" t="s">
        <v>234</v>
      </c>
      <c r="D352" t="s">
        <v>59</v>
      </c>
      <c r="E352" t="str" cm="1">
        <f t="array" ref="E352">_xlfn.XLOOKUP(D352,_xlfn.ANCHORARRAY('Item_ Master'!$A$2),'Item_ Master'!$B$2:$B$14,0,0)</f>
        <v>Produce</v>
      </c>
      <c r="F352">
        <v>6</v>
      </c>
      <c r="G352" s="3">
        <v>108.6</v>
      </c>
      <c r="H352" t="s">
        <v>12</v>
      </c>
      <c r="I352" s="2">
        <f t="shared" si="5"/>
        <v>651.59999999999991</v>
      </c>
    </row>
    <row r="353" spans="1:9" x14ac:dyDescent="0.2">
      <c r="A353" s="1">
        <v>45519</v>
      </c>
      <c r="B353" t="s">
        <v>156</v>
      </c>
      <c r="C353" t="s">
        <v>235</v>
      </c>
      <c r="D353" t="s">
        <v>52</v>
      </c>
      <c r="E353" t="str" cm="1">
        <f t="array" ref="E353">_xlfn.XLOOKUP(D353,_xlfn.ANCHORARRAY('Item_ Master'!$A$2),'Item_ Master'!$B$2:$B$14,0,0)</f>
        <v>Dairy</v>
      </c>
      <c r="F353">
        <v>3</v>
      </c>
      <c r="G353" s="3">
        <v>98.01</v>
      </c>
      <c r="H353" t="s">
        <v>20</v>
      </c>
      <c r="I353" s="2">
        <f t="shared" si="5"/>
        <v>294.03000000000003</v>
      </c>
    </row>
    <row r="354" spans="1:9" x14ac:dyDescent="0.2">
      <c r="A354" s="1">
        <v>45576</v>
      </c>
      <c r="B354" t="s">
        <v>160</v>
      </c>
      <c r="C354" t="s">
        <v>234</v>
      </c>
      <c r="D354" t="s">
        <v>52</v>
      </c>
      <c r="E354" t="str" cm="1">
        <f t="array" ref="E354">_xlfn.XLOOKUP(D354,_xlfn.ANCHORARRAY('Item_ Master'!$A$2),'Item_ Master'!$B$2:$B$14,0,0)</f>
        <v>Dairy</v>
      </c>
      <c r="F354">
        <v>1</v>
      </c>
      <c r="G354" s="3">
        <v>99.29</v>
      </c>
      <c r="H354" t="s">
        <v>43</v>
      </c>
      <c r="I354" s="2">
        <f t="shared" si="5"/>
        <v>99.29</v>
      </c>
    </row>
    <row r="355" spans="1:9" x14ac:dyDescent="0.2">
      <c r="A355" s="1">
        <v>45598</v>
      </c>
      <c r="B355" t="s">
        <v>66</v>
      </c>
      <c r="C355" t="s">
        <v>235</v>
      </c>
      <c r="D355" t="s">
        <v>25</v>
      </c>
      <c r="E355" t="str" cm="1">
        <f t="array" ref="E355">_xlfn.XLOOKUP(D355,_xlfn.ANCHORARRAY('Item_ Master'!$A$2),'Item_ Master'!$B$2:$B$14,0,0)</f>
        <v>Grocery</v>
      </c>
      <c r="F355">
        <v>1</v>
      </c>
      <c r="G355" s="3">
        <v>210.52</v>
      </c>
      <c r="H355" t="s">
        <v>20</v>
      </c>
      <c r="I355" s="2">
        <f t="shared" si="5"/>
        <v>210.52</v>
      </c>
    </row>
    <row r="356" spans="1:9" x14ac:dyDescent="0.2">
      <c r="A356" s="1">
        <v>45578</v>
      </c>
      <c r="B356" t="s">
        <v>98</v>
      </c>
      <c r="C356" t="s">
        <v>232</v>
      </c>
      <c r="D356" t="s">
        <v>251</v>
      </c>
      <c r="E356" t="str" cm="1">
        <f t="array" ref="E356">_xlfn.XLOOKUP(D356,_xlfn.ANCHORARRAY('Item_ Master'!$A$2),'Item_ Master'!$B$2:$B$14,0,0)</f>
        <v>Household</v>
      </c>
      <c r="F356">
        <v>3</v>
      </c>
      <c r="G356" s="3">
        <v>426.92</v>
      </c>
      <c r="H356" t="s">
        <v>12</v>
      </c>
      <c r="I356" s="2">
        <f t="shared" si="5"/>
        <v>1280.76</v>
      </c>
    </row>
    <row r="357" spans="1:9" x14ac:dyDescent="0.2">
      <c r="A357" s="1">
        <v>45446</v>
      </c>
      <c r="B357" t="s">
        <v>89</v>
      </c>
      <c r="C357" t="s">
        <v>234</v>
      </c>
      <c r="D357" t="s">
        <v>57</v>
      </c>
      <c r="E357" t="str" cm="1">
        <f t="array" ref="E357">_xlfn.XLOOKUP(D357,_xlfn.ANCHORARRAY('Item_ Master'!$A$2),'Item_ Master'!$B$2:$B$14,0,0)</f>
        <v>Bakery</v>
      </c>
      <c r="F357">
        <v>2</v>
      </c>
      <c r="G357" s="3">
        <v>141.96</v>
      </c>
      <c r="H357" t="s">
        <v>20</v>
      </c>
      <c r="I357" s="2">
        <f t="shared" si="5"/>
        <v>283.92</v>
      </c>
    </row>
    <row r="358" spans="1:9" x14ac:dyDescent="0.2">
      <c r="A358" s="1">
        <v>45539</v>
      </c>
      <c r="B358" t="s">
        <v>66</v>
      </c>
      <c r="C358" t="s">
        <v>231</v>
      </c>
      <c r="D358" t="s">
        <v>59</v>
      </c>
      <c r="E358" t="str" cm="1">
        <f t="array" ref="E358">_xlfn.XLOOKUP(D358,_xlfn.ANCHORARRAY('Item_ Master'!$A$2),'Item_ Master'!$B$2:$B$14,0,0)</f>
        <v>Produce</v>
      </c>
      <c r="F358">
        <v>5</v>
      </c>
      <c r="G358" s="3">
        <v>569.32000000000005</v>
      </c>
      <c r="H358" t="s">
        <v>43</v>
      </c>
      <c r="I358" s="2">
        <f t="shared" si="5"/>
        <v>2846.6000000000004</v>
      </c>
    </row>
    <row r="359" spans="1:9" x14ac:dyDescent="0.2">
      <c r="A359" s="1">
        <v>45596</v>
      </c>
      <c r="B359" t="s">
        <v>94</v>
      </c>
      <c r="C359" t="s">
        <v>233</v>
      </c>
      <c r="D359" t="s">
        <v>62</v>
      </c>
      <c r="E359" t="str" cm="1">
        <f t="array" ref="E359">_xlfn.XLOOKUP(D359,_xlfn.ANCHORARRAY('Item_ Master'!$A$2),'Item_ Master'!$B$2:$B$14,0,0)</f>
        <v>Produce</v>
      </c>
      <c r="F359">
        <v>2</v>
      </c>
      <c r="G359" s="3">
        <v>124.52</v>
      </c>
      <c r="H359" t="s">
        <v>12</v>
      </c>
      <c r="I359" s="2">
        <f t="shared" si="5"/>
        <v>249.04</v>
      </c>
    </row>
    <row r="360" spans="1:9" x14ac:dyDescent="0.2">
      <c r="A360" s="1">
        <v>45462</v>
      </c>
      <c r="B360" t="s">
        <v>145</v>
      </c>
      <c r="C360" t="s">
        <v>234</v>
      </c>
      <c r="D360" t="s">
        <v>59</v>
      </c>
      <c r="E360" t="str" cm="1">
        <f t="array" ref="E360">_xlfn.XLOOKUP(D360,_xlfn.ANCHORARRAY('Item_ Master'!$A$2),'Item_ Master'!$B$2:$B$14,0,0)</f>
        <v>Produce</v>
      </c>
      <c r="F360">
        <v>8</v>
      </c>
      <c r="G360" s="3">
        <v>234.1</v>
      </c>
      <c r="H360" t="s">
        <v>43</v>
      </c>
      <c r="I360" s="2">
        <f t="shared" si="5"/>
        <v>1872.8</v>
      </c>
    </row>
    <row r="361" spans="1:9" x14ac:dyDescent="0.2">
      <c r="A361" s="1">
        <v>45361</v>
      </c>
      <c r="B361" t="s">
        <v>126</v>
      </c>
      <c r="C361" t="s">
        <v>235</v>
      </c>
      <c r="D361" t="s">
        <v>49</v>
      </c>
      <c r="E361" t="str" cm="1">
        <f t="array" ref="E361">_xlfn.XLOOKUP(D361,_xlfn.ANCHORARRAY('Item_ Master'!$A$2),'Item_ Master'!$B$2:$B$14,0,0)</f>
        <v>Personal Care</v>
      </c>
      <c r="F361">
        <v>4</v>
      </c>
      <c r="G361" s="3">
        <v>313.45999999999998</v>
      </c>
      <c r="H361" t="s">
        <v>12</v>
      </c>
      <c r="I361" s="2">
        <f t="shared" si="5"/>
        <v>1253.8399999999999</v>
      </c>
    </row>
    <row r="362" spans="1:9" x14ac:dyDescent="0.2">
      <c r="A362" s="1">
        <v>45455</v>
      </c>
      <c r="B362" t="s">
        <v>123</v>
      </c>
      <c r="C362" t="s">
        <v>234</v>
      </c>
      <c r="D362" t="s">
        <v>78</v>
      </c>
      <c r="E362" t="str" cm="1">
        <f t="array" ref="E362">_xlfn.XLOOKUP(D362,_xlfn.ANCHORARRAY('Item_ Master'!$A$2),'Item_ Master'!$B$2:$B$14,0,0)</f>
        <v>Personal Care</v>
      </c>
      <c r="F362">
        <v>4</v>
      </c>
      <c r="G362" s="3">
        <v>229.24</v>
      </c>
      <c r="H362" t="s">
        <v>20</v>
      </c>
      <c r="I362" s="2">
        <f t="shared" si="5"/>
        <v>916.96</v>
      </c>
    </row>
    <row r="363" spans="1:9" x14ac:dyDescent="0.2">
      <c r="A363" s="1">
        <v>45493</v>
      </c>
      <c r="B363" t="s">
        <v>36</v>
      </c>
      <c r="C363" t="s">
        <v>231</v>
      </c>
      <c r="D363" t="s">
        <v>78</v>
      </c>
      <c r="E363" t="str" cm="1">
        <f t="array" ref="E363">_xlfn.XLOOKUP(D363,_xlfn.ANCHORARRAY('Item_ Master'!$A$2),'Item_ Master'!$B$2:$B$14,0,0)</f>
        <v>Personal Care</v>
      </c>
      <c r="F363">
        <v>4</v>
      </c>
      <c r="G363" s="3">
        <v>375.72</v>
      </c>
      <c r="H363" t="s">
        <v>43</v>
      </c>
      <c r="I363" s="2">
        <f t="shared" si="5"/>
        <v>1502.88</v>
      </c>
    </row>
    <row r="364" spans="1:9" x14ac:dyDescent="0.2">
      <c r="A364" s="1">
        <v>45573</v>
      </c>
      <c r="B364" t="s">
        <v>17</v>
      </c>
      <c r="C364" t="s">
        <v>234</v>
      </c>
      <c r="D364" t="s">
        <v>23</v>
      </c>
      <c r="E364" t="str" cm="1">
        <f t="array" ref="E364">_xlfn.XLOOKUP(D364,_xlfn.ANCHORARRAY('Item_ Master'!$A$2),'Item_ Master'!$B$2:$B$14,0,0)</f>
        <v>Produce</v>
      </c>
      <c r="F364">
        <v>4</v>
      </c>
      <c r="G364" s="3">
        <v>291.14999999999998</v>
      </c>
      <c r="H364" t="s">
        <v>20</v>
      </c>
      <c r="I364" s="2">
        <f t="shared" si="5"/>
        <v>1164.5999999999999</v>
      </c>
    </row>
    <row r="365" spans="1:9" x14ac:dyDescent="0.2">
      <c r="A365" s="1">
        <v>45327</v>
      </c>
      <c r="B365" t="s">
        <v>87</v>
      </c>
      <c r="C365" t="s">
        <v>234</v>
      </c>
      <c r="D365" t="s">
        <v>57</v>
      </c>
      <c r="E365" t="str" cm="1">
        <f t="array" ref="E365">_xlfn.XLOOKUP(D365,_xlfn.ANCHORARRAY('Item_ Master'!$A$2),'Item_ Master'!$B$2:$B$14,0,0)</f>
        <v>Bakery</v>
      </c>
      <c r="F365">
        <v>5</v>
      </c>
      <c r="G365" s="3">
        <v>183.11</v>
      </c>
      <c r="H365" t="s">
        <v>43</v>
      </c>
      <c r="I365" s="2">
        <f t="shared" si="5"/>
        <v>915.55000000000007</v>
      </c>
    </row>
    <row r="366" spans="1:9" x14ac:dyDescent="0.2">
      <c r="A366" s="1">
        <v>45508</v>
      </c>
      <c r="B366" t="s">
        <v>208</v>
      </c>
      <c r="C366" t="s">
        <v>231</v>
      </c>
      <c r="D366" t="s">
        <v>62</v>
      </c>
      <c r="E366" t="str" cm="1">
        <f t="array" ref="E366">_xlfn.XLOOKUP(D366,_xlfn.ANCHORARRAY('Item_ Master'!$A$2),'Item_ Master'!$B$2:$B$14,0,0)</f>
        <v>Produce</v>
      </c>
      <c r="F366">
        <v>10</v>
      </c>
      <c r="G366" s="3">
        <v>313.58</v>
      </c>
      <c r="H366" t="s">
        <v>20</v>
      </c>
      <c r="I366" s="2">
        <f t="shared" si="5"/>
        <v>3135.7999999999997</v>
      </c>
    </row>
    <row r="367" spans="1:9" x14ac:dyDescent="0.2">
      <c r="A367" s="1">
        <v>45506</v>
      </c>
      <c r="B367" t="s">
        <v>82</v>
      </c>
      <c r="C367" t="s">
        <v>231</v>
      </c>
      <c r="D367" t="s">
        <v>59</v>
      </c>
      <c r="E367" t="str" cm="1">
        <f t="array" ref="E367">_xlfn.XLOOKUP(D367,_xlfn.ANCHORARRAY('Item_ Master'!$A$2),'Item_ Master'!$B$2:$B$14,0,0)</f>
        <v>Produce</v>
      </c>
      <c r="F367">
        <v>9</v>
      </c>
      <c r="G367" s="3">
        <v>376.6</v>
      </c>
      <c r="H367" t="s">
        <v>12</v>
      </c>
      <c r="I367" s="2">
        <f t="shared" si="5"/>
        <v>3389.4</v>
      </c>
    </row>
    <row r="368" spans="1:9" x14ac:dyDescent="0.2">
      <c r="A368" s="1">
        <v>45419</v>
      </c>
      <c r="B368" t="s">
        <v>79</v>
      </c>
      <c r="C368" t="s">
        <v>235</v>
      </c>
      <c r="D368" t="s">
        <v>57</v>
      </c>
      <c r="E368" t="str" cm="1">
        <f t="array" ref="E368">_xlfn.XLOOKUP(D368,_xlfn.ANCHORARRAY('Item_ Master'!$A$2),'Item_ Master'!$B$2:$B$14,0,0)</f>
        <v>Bakery</v>
      </c>
      <c r="F368">
        <v>10</v>
      </c>
      <c r="G368" s="3">
        <v>74.36</v>
      </c>
      <c r="H368" t="s">
        <v>43</v>
      </c>
      <c r="I368" s="2">
        <f t="shared" si="5"/>
        <v>743.6</v>
      </c>
    </row>
    <row r="369" spans="1:9" x14ac:dyDescent="0.2">
      <c r="A369" s="1">
        <v>45496</v>
      </c>
      <c r="B369" t="s">
        <v>209</v>
      </c>
      <c r="C369" t="s">
        <v>235</v>
      </c>
      <c r="D369" t="s">
        <v>25</v>
      </c>
      <c r="E369" t="str" cm="1">
        <f t="array" ref="E369">_xlfn.XLOOKUP(D369,_xlfn.ANCHORARRAY('Item_ Master'!$A$2),'Item_ Master'!$B$2:$B$14,0,0)</f>
        <v>Grocery</v>
      </c>
      <c r="F369">
        <v>2</v>
      </c>
      <c r="G369" s="3">
        <v>55.8</v>
      </c>
      <c r="H369" t="s">
        <v>20</v>
      </c>
      <c r="I369" s="2">
        <f t="shared" si="5"/>
        <v>111.6</v>
      </c>
    </row>
    <row r="370" spans="1:9" x14ac:dyDescent="0.2">
      <c r="A370" s="1">
        <v>45557</v>
      </c>
      <c r="B370" t="s">
        <v>101</v>
      </c>
      <c r="C370" t="s">
        <v>232</v>
      </c>
      <c r="D370" t="s">
        <v>23</v>
      </c>
      <c r="E370" t="str" cm="1">
        <f t="array" ref="E370">_xlfn.XLOOKUP(D370,_xlfn.ANCHORARRAY('Item_ Master'!$A$2),'Item_ Master'!$B$2:$B$14,0,0)</f>
        <v>Produce</v>
      </c>
      <c r="F370">
        <v>10</v>
      </c>
      <c r="G370" s="3">
        <v>171.57</v>
      </c>
      <c r="H370" t="s">
        <v>20</v>
      </c>
      <c r="I370" s="2">
        <f t="shared" si="5"/>
        <v>1715.6999999999998</v>
      </c>
    </row>
    <row r="371" spans="1:9" x14ac:dyDescent="0.2">
      <c r="A371" s="1">
        <v>45593</v>
      </c>
      <c r="B371" t="s">
        <v>39</v>
      </c>
      <c r="C371" t="s">
        <v>232</v>
      </c>
      <c r="D371" t="s">
        <v>57</v>
      </c>
      <c r="E371" t="str" cm="1">
        <f t="array" ref="E371">_xlfn.XLOOKUP(D371,_xlfn.ANCHORARRAY('Item_ Master'!$A$2),'Item_ Master'!$B$2:$B$14,0,0)</f>
        <v>Bakery</v>
      </c>
      <c r="F371">
        <v>6</v>
      </c>
      <c r="G371" s="3">
        <v>598.74</v>
      </c>
      <c r="H371" t="s">
        <v>20</v>
      </c>
      <c r="I371" s="2">
        <f t="shared" si="5"/>
        <v>3592.44</v>
      </c>
    </row>
    <row r="372" spans="1:9" x14ac:dyDescent="0.2">
      <c r="A372" s="1">
        <v>45504</v>
      </c>
      <c r="B372" t="s">
        <v>210</v>
      </c>
      <c r="C372" t="s">
        <v>231</v>
      </c>
      <c r="D372" t="s">
        <v>10</v>
      </c>
      <c r="E372" t="str" cm="1">
        <f t="array" ref="E372">_xlfn.XLOOKUP(D372,_xlfn.ANCHORARRAY('Item_ Master'!$A$2),'Item_ Master'!$B$2:$B$14,0,0)</f>
        <v>Produce</v>
      </c>
      <c r="F372">
        <v>3</v>
      </c>
      <c r="G372" s="3">
        <v>241.58</v>
      </c>
      <c r="H372" t="s">
        <v>20</v>
      </c>
      <c r="I372" s="2">
        <f t="shared" si="5"/>
        <v>724.74</v>
      </c>
    </row>
    <row r="373" spans="1:9" x14ac:dyDescent="0.2">
      <c r="A373" s="1">
        <v>45397</v>
      </c>
      <c r="B373" t="s">
        <v>211</v>
      </c>
      <c r="C373" t="s">
        <v>234</v>
      </c>
      <c r="D373" t="s">
        <v>59</v>
      </c>
      <c r="E373" t="str" cm="1">
        <f t="array" ref="E373">_xlfn.XLOOKUP(D373,_xlfn.ANCHORARRAY('Item_ Master'!$A$2),'Item_ Master'!$B$2:$B$14,0,0)</f>
        <v>Produce</v>
      </c>
      <c r="F373">
        <v>8</v>
      </c>
      <c r="G373" s="3">
        <v>103.69</v>
      </c>
      <c r="H373" t="s">
        <v>43</v>
      </c>
      <c r="I373" s="2">
        <f t="shared" si="5"/>
        <v>829.52</v>
      </c>
    </row>
    <row r="374" spans="1:9" x14ac:dyDescent="0.2">
      <c r="A374" s="1">
        <v>45455</v>
      </c>
      <c r="B374" t="s">
        <v>116</v>
      </c>
      <c r="C374" t="s">
        <v>235</v>
      </c>
      <c r="D374" t="s">
        <v>52</v>
      </c>
      <c r="E374" t="str" cm="1">
        <f t="array" ref="E374">_xlfn.XLOOKUP(D374,_xlfn.ANCHORARRAY('Item_ Master'!$A$2),'Item_ Master'!$B$2:$B$14,0,0)</f>
        <v>Dairy</v>
      </c>
      <c r="F374">
        <v>2</v>
      </c>
      <c r="G374" s="3">
        <v>62.42</v>
      </c>
      <c r="H374" t="s">
        <v>20</v>
      </c>
      <c r="I374" s="2">
        <f t="shared" si="5"/>
        <v>124.84</v>
      </c>
    </row>
    <row r="375" spans="1:9" x14ac:dyDescent="0.2">
      <c r="A375" s="1">
        <v>45376</v>
      </c>
      <c r="B375" t="s">
        <v>203</v>
      </c>
      <c r="C375" t="s">
        <v>233</v>
      </c>
      <c r="D375" t="s">
        <v>251</v>
      </c>
      <c r="E375" t="str" cm="1">
        <f t="array" ref="E375">_xlfn.XLOOKUP(D375,_xlfn.ANCHORARRAY('Item_ Master'!$A$2),'Item_ Master'!$B$2:$B$14,0,0)</f>
        <v>Household</v>
      </c>
      <c r="F375">
        <v>3</v>
      </c>
      <c r="G375" s="3">
        <v>353.55</v>
      </c>
      <c r="H375" t="s">
        <v>20</v>
      </c>
      <c r="I375" s="2">
        <f t="shared" si="5"/>
        <v>1060.6500000000001</v>
      </c>
    </row>
    <row r="376" spans="1:9" x14ac:dyDescent="0.2">
      <c r="A376" s="1">
        <v>45528</v>
      </c>
      <c r="B376" t="s">
        <v>212</v>
      </c>
      <c r="C376" t="s">
        <v>234</v>
      </c>
      <c r="D376" t="s">
        <v>71</v>
      </c>
      <c r="E376" t="str" cm="1">
        <f t="array" ref="E376">_xlfn.XLOOKUP(D376,_xlfn.ANCHORARRAY('Item_ Master'!$A$2),'Item_ Master'!$B$2:$B$14,0,0)</f>
        <v>Household</v>
      </c>
      <c r="F376">
        <v>3</v>
      </c>
      <c r="G376" s="3">
        <v>152.51</v>
      </c>
      <c r="H376" t="s">
        <v>43</v>
      </c>
      <c r="I376" s="2">
        <f t="shared" si="5"/>
        <v>457.53</v>
      </c>
    </row>
    <row r="377" spans="1:9" x14ac:dyDescent="0.2">
      <c r="A377" s="1">
        <v>45306</v>
      </c>
      <c r="B377" t="s">
        <v>213</v>
      </c>
      <c r="C377" t="s">
        <v>232</v>
      </c>
      <c r="D377" t="s">
        <v>57</v>
      </c>
      <c r="E377" t="str" cm="1">
        <f t="array" ref="E377">_xlfn.XLOOKUP(D377,_xlfn.ANCHORARRAY('Item_ Master'!$A$2),'Item_ Master'!$B$2:$B$14,0,0)</f>
        <v>Bakery</v>
      </c>
      <c r="F377">
        <v>8</v>
      </c>
      <c r="G377" s="3">
        <v>375.71</v>
      </c>
      <c r="H377" t="s">
        <v>20</v>
      </c>
      <c r="I377" s="2">
        <f t="shared" si="5"/>
        <v>3005.68</v>
      </c>
    </row>
    <row r="378" spans="1:9" x14ac:dyDescent="0.2">
      <c r="A378" s="1">
        <v>45401</v>
      </c>
      <c r="B378" t="s">
        <v>107</v>
      </c>
      <c r="C378" t="s">
        <v>235</v>
      </c>
      <c r="D378" t="s">
        <v>23</v>
      </c>
      <c r="E378" t="str" cm="1">
        <f t="array" ref="E378">_xlfn.XLOOKUP(D378,_xlfn.ANCHORARRAY('Item_ Master'!$A$2),'Item_ Master'!$B$2:$B$14,0,0)</f>
        <v>Produce</v>
      </c>
      <c r="F378">
        <v>2</v>
      </c>
      <c r="G378" s="3">
        <v>367.54</v>
      </c>
      <c r="H378" t="s">
        <v>43</v>
      </c>
      <c r="I378" s="2">
        <f t="shared" si="5"/>
        <v>735.08</v>
      </c>
    </row>
    <row r="379" spans="1:9" x14ac:dyDescent="0.2">
      <c r="A379" s="1">
        <v>45458</v>
      </c>
      <c r="B379" t="s">
        <v>214</v>
      </c>
      <c r="C379" t="s">
        <v>234</v>
      </c>
      <c r="D379" t="s">
        <v>52</v>
      </c>
      <c r="E379" t="str" cm="1">
        <f t="array" ref="E379">_xlfn.XLOOKUP(D379,_xlfn.ANCHORARRAY('Item_ Master'!$A$2),'Item_ Master'!$B$2:$B$14,0,0)</f>
        <v>Dairy</v>
      </c>
      <c r="F379">
        <v>5</v>
      </c>
      <c r="G379" s="3">
        <v>418.89</v>
      </c>
      <c r="H379" t="s">
        <v>20</v>
      </c>
      <c r="I379" s="2">
        <f t="shared" si="5"/>
        <v>2094.4499999999998</v>
      </c>
    </row>
    <row r="380" spans="1:9" x14ac:dyDescent="0.2">
      <c r="A380" s="1">
        <v>45619</v>
      </c>
      <c r="B380" t="s">
        <v>41</v>
      </c>
      <c r="C380" t="s">
        <v>232</v>
      </c>
      <c r="D380" t="s">
        <v>25</v>
      </c>
      <c r="E380" t="str" cm="1">
        <f t="array" ref="E380">_xlfn.XLOOKUP(D380,_xlfn.ANCHORARRAY('Item_ Master'!$A$2),'Item_ Master'!$B$2:$B$14,0,0)</f>
        <v>Grocery</v>
      </c>
      <c r="F380">
        <v>10</v>
      </c>
      <c r="G380" s="3">
        <v>265.89999999999998</v>
      </c>
      <c r="H380" t="s">
        <v>12</v>
      </c>
      <c r="I380" s="2">
        <f t="shared" si="5"/>
        <v>2659</v>
      </c>
    </row>
    <row r="381" spans="1:9" x14ac:dyDescent="0.2">
      <c r="A381" s="1">
        <v>45526</v>
      </c>
      <c r="B381" t="s">
        <v>145</v>
      </c>
      <c r="C381" t="s">
        <v>233</v>
      </c>
      <c r="D381" t="s">
        <v>71</v>
      </c>
      <c r="E381" t="str" cm="1">
        <f t="array" ref="E381">_xlfn.XLOOKUP(D381,_xlfn.ANCHORARRAY('Item_ Master'!$A$2),'Item_ Master'!$B$2:$B$14,0,0)</f>
        <v>Household</v>
      </c>
      <c r="F381">
        <v>5</v>
      </c>
      <c r="G381" s="3">
        <v>555.28</v>
      </c>
      <c r="H381" t="s">
        <v>43</v>
      </c>
      <c r="I381" s="2">
        <f t="shared" si="5"/>
        <v>2776.3999999999996</v>
      </c>
    </row>
    <row r="382" spans="1:9" x14ac:dyDescent="0.2">
      <c r="A382" s="1">
        <v>45360</v>
      </c>
      <c r="B382" t="s">
        <v>41</v>
      </c>
      <c r="C382" t="s">
        <v>231</v>
      </c>
      <c r="D382" t="s">
        <v>40</v>
      </c>
      <c r="E382" t="str" cm="1">
        <f t="array" ref="E382">_xlfn.XLOOKUP(D382,_xlfn.ANCHORARRAY('Item_ Master'!$A$2),'Item_ Master'!$B$2:$B$14,0,0)</f>
        <v>Household</v>
      </c>
      <c r="F382">
        <v>5</v>
      </c>
      <c r="G382" s="3">
        <v>114.32</v>
      </c>
      <c r="H382" t="s">
        <v>20</v>
      </c>
      <c r="I382" s="2">
        <f t="shared" si="5"/>
        <v>571.59999999999991</v>
      </c>
    </row>
    <row r="383" spans="1:9" x14ac:dyDescent="0.2">
      <c r="A383" s="1">
        <v>45553</v>
      </c>
      <c r="B383" t="s">
        <v>108</v>
      </c>
      <c r="C383" t="s">
        <v>234</v>
      </c>
      <c r="D383" t="s">
        <v>49</v>
      </c>
      <c r="E383" t="str" cm="1">
        <f t="array" ref="E383">_xlfn.XLOOKUP(D383,_xlfn.ANCHORARRAY('Item_ Master'!$A$2),'Item_ Master'!$B$2:$B$14,0,0)</f>
        <v>Personal Care</v>
      </c>
      <c r="F383">
        <v>3</v>
      </c>
      <c r="G383" s="3">
        <v>366.14</v>
      </c>
      <c r="H383" t="s">
        <v>20</v>
      </c>
      <c r="I383" s="2">
        <f t="shared" si="5"/>
        <v>1098.42</v>
      </c>
    </row>
    <row r="384" spans="1:9" x14ac:dyDescent="0.2">
      <c r="A384" s="1">
        <v>45617</v>
      </c>
      <c r="B384" t="s">
        <v>45</v>
      </c>
      <c r="C384" t="s">
        <v>233</v>
      </c>
      <c r="D384" t="s">
        <v>28</v>
      </c>
      <c r="E384" t="str" cm="1">
        <f t="array" ref="E384">_xlfn.XLOOKUP(D384,_xlfn.ANCHORARRAY('Item_ Master'!$A$2),'Item_ Master'!$B$2:$B$14,0,0)</f>
        <v>Household</v>
      </c>
      <c r="F384">
        <v>3</v>
      </c>
      <c r="G384" s="3">
        <v>319.3</v>
      </c>
      <c r="H384" t="s">
        <v>12</v>
      </c>
      <c r="I384" s="2">
        <f t="shared" si="5"/>
        <v>957.90000000000009</v>
      </c>
    </row>
    <row r="385" spans="1:9" x14ac:dyDescent="0.2">
      <c r="A385" s="1">
        <v>45522</v>
      </c>
      <c r="B385" t="s">
        <v>145</v>
      </c>
      <c r="C385" t="s">
        <v>231</v>
      </c>
      <c r="D385" t="s">
        <v>59</v>
      </c>
      <c r="E385" t="str" cm="1">
        <f t="array" ref="E385">_xlfn.XLOOKUP(D385,_xlfn.ANCHORARRAY('Item_ Master'!$A$2),'Item_ Master'!$B$2:$B$14,0,0)</f>
        <v>Produce</v>
      </c>
      <c r="F385">
        <v>1</v>
      </c>
      <c r="G385" s="3">
        <v>316.52999999999997</v>
      </c>
      <c r="H385" t="s">
        <v>12</v>
      </c>
      <c r="I385" s="2">
        <f t="shared" si="5"/>
        <v>316.52999999999997</v>
      </c>
    </row>
    <row r="386" spans="1:9" x14ac:dyDescent="0.2">
      <c r="A386" s="1">
        <v>45579</v>
      </c>
      <c r="B386" t="s">
        <v>198</v>
      </c>
      <c r="C386" t="s">
        <v>234</v>
      </c>
      <c r="D386" t="s">
        <v>25</v>
      </c>
      <c r="E386" t="str" cm="1">
        <f t="array" ref="E386">_xlfn.XLOOKUP(D386,_xlfn.ANCHORARRAY('Item_ Master'!$A$2),'Item_ Master'!$B$2:$B$14,0,0)</f>
        <v>Grocery</v>
      </c>
      <c r="F386">
        <v>8</v>
      </c>
      <c r="G386" s="3">
        <v>278.60000000000002</v>
      </c>
      <c r="H386" t="s">
        <v>20</v>
      </c>
      <c r="I386" s="2">
        <f t="shared" si="5"/>
        <v>2228.8000000000002</v>
      </c>
    </row>
    <row r="387" spans="1:9" x14ac:dyDescent="0.2">
      <c r="A387" s="1">
        <v>45334</v>
      </c>
      <c r="B387" t="s">
        <v>113</v>
      </c>
      <c r="C387" t="s">
        <v>231</v>
      </c>
      <c r="D387" t="s">
        <v>40</v>
      </c>
      <c r="E387" t="str" cm="1">
        <f t="array" ref="E387">_xlfn.XLOOKUP(D387,_xlfn.ANCHORARRAY('Item_ Master'!$A$2),'Item_ Master'!$B$2:$B$14,0,0)</f>
        <v>Household</v>
      </c>
      <c r="F387">
        <v>5</v>
      </c>
      <c r="G387" s="3">
        <v>67.98</v>
      </c>
      <c r="H387" t="s">
        <v>12</v>
      </c>
      <c r="I387" s="2">
        <f t="shared" ref="I387:I450" si="6">F387*G387</f>
        <v>339.90000000000003</v>
      </c>
    </row>
    <row r="388" spans="1:9" x14ac:dyDescent="0.2">
      <c r="A388" s="1">
        <v>45378</v>
      </c>
      <c r="B388" t="s">
        <v>100</v>
      </c>
      <c r="C388" t="s">
        <v>234</v>
      </c>
      <c r="D388" t="s">
        <v>78</v>
      </c>
      <c r="E388" t="str" cm="1">
        <f t="array" ref="E388">_xlfn.XLOOKUP(D388,_xlfn.ANCHORARRAY('Item_ Master'!$A$2),'Item_ Master'!$B$2:$B$14,0,0)</f>
        <v>Personal Care</v>
      </c>
      <c r="F388">
        <v>8</v>
      </c>
      <c r="G388" s="3">
        <v>352.35</v>
      </c>
      <c r="H388" t="s">
        <v>12</v>
      </c>
      <c r="I388" s="2">
        <f t="shared" si="6"/>
        <v>2818.8</v>
      </c>
    </row>
    <row r="389" spans="1:9" x14ac:dyDescent="0.2">
      <c r="A389" s="1">
        <v>45429</v>
      </c>
      <c r="B389" t="s">
        <v>170</v>
      </c>
      <c r="C389" t="s">
        <v>232</v>
      </c>
      <c r="D389" t="s">
        <v>59</v>
      </c>
      <c r="E389" t="str" cm="1">
        <f t="array" ref="E389">_xlfn.XLOOKUP(D389,_xlfn.ANCHORARRAY('Item_ Master'!$A$2),'Item_ Master'!$B$2:$B$14,0,0)</f>
        <v>Produce</v>
      </c>
      <c r="F389">
        <v>9</v>
      </c>
      <c r="G389" s="3">
        <v>502.44</v>
      </c>
      <c r="H389" t="s">
        <v>12</v>
      </c>
      <c r="I389" s="2">
        <f t="shared" si="6"/>
        <v>4521.96</v>
      </c>
    </row>
    <row r="390" spans="1:9" x14ac:dyDescent="0.2">
      <c r="A390" s="1">
        <v>45517</v>
      </c>
      <c r="B390" t="s">
        <v>82</v>
      </c>
      <c r="C390" t="s">
        <v>233</v>
      </c>
      <c r="D390" t="s">
        <v>25</v>
      </c>
      <c r="E390" t="str" cm="1">
        <f t="array" ref="E390">_xlfn.XLOOKUP(D390,_xlfn.ANCHORARRAY('Item_ Master'!$A$2),'Item_ Master'!$B$2:$B$14,0,0)</f>
        <v>Grocery</v>
      </c>
      <c r="F390">
        <v>2</v>
      </c>
      <c r="G390" s="3">
        <v>454.79</v>
      </c>
      <c r="H390" t="s">
        <v>43</v>
      </c>
      <c r="I390" s="2">
        <f t="shared" si="6"/>
        <v>909.58</v>
      </c>
    </row>
    <row r="391" spans="1:9" x14ac:dyDescent="0.2">
      <c r="A391" s="1">
        <v>45444</v>
      </c>
      <c r="B391" t="s">
        <v>129</v>
      </c>
      <c r="C391" t="s">
        <v>234</v>
      </c>
      <c r="D391" t="s">
        <v>40</v>
      </c>
      <c r="E391" t="str" cm="1">
        <f t="array" ref="E391">_xlfn.XLOOKUP(D391,_xlfn.ANCHORARRAY('Item_ Master'!$A$2),'Item_ Master'!$B$2:$B$14,0,0)</f>
        <v>Household</v>
      </c>
      <c r="F391">
        <v>6</v>
      </c>
      <c r="G391" s="3">
        <v>524.21</v>
      </c>
      <c r="H391" t="s">
        <v>12</v>
      </c>
      <c r="I391" s="2">
        <f t="shared" si="6"/>
        <v>3145.26</v>
      </c>
    </row>
    <row r="392" spans="1:9" x14ac:dyDescent="0.2">
      <c r="A392" s="1">
        <v>45352</v>
      </c>
      <c r="B392" t="s">
        <v>170</v>
      </c>
      <c r="C392" t="s">
        <v>233</v>
      </c>
      <c r="D392" t="s">
        <v>57</v>
      </c>
      <c r="E392" t="str" cm="1">
        <f t="array" ref="E392">_xlfn.XLOOKUP(D392,_xlfn.ANCHORARRAY('Item_ Master'!$A$2),'Item_ Master'!$B$2:$B$14,0,0)</f>
        <v>Bakery</v>
      </c>
      <c r="F392">
        <v>10</v>
      </c>
      <c r="G392" s="3">
        <v>429.02</v>
      </c>
      <c r="H392" t="s">
        <v>43</v>
      </c>
      <c r="I392" s="2">
        <f t="shared" si="6"/>
        <v>4290.2</v>
      </c>
    </row>
    <row r="393" spans="1:9" x14ac:dyDescent="0.2">
      <c r="A393" s="1">
        <v>45511</v>
      </c>
      <c r="B393" t="s">
        <v>72</v>
      </c>
      <c r="C393" t="s">
        <v>232</v>
      </c>
      <c r="D393" t="s">
        <v>57</v>
      </c>
      <c r="E393" t="str" cm="1">
        <f t="array" ref="E393">_xlfn.XLOOKUP(D393,_xlfn.ANCHORARRAY('Item_ Master'!$A$2),'Item_ Master'!$B$2:$B$14,0,0)</f>
        <v>Bakery</v>
      </c>
      <c r="F393">
        <v>4</v>
      </c>
      <c r="G393" s="3">
        <v>497.44</v>
      </c>
      <c r="H393" t="s">
        <v>12</v>
      </c>
      <c r="I393" s="2">
        <f t="shared" si="6"/>
        <v>1989.76</v>
      </c>
    </row>
    <row r="394" spans="1:9" x14ac:dyDescent="0.2">
      <c r="A394" s="1">
        <v>45564</v>
      </c>
      <c r="B394" t="s">
        <v>133</v>
      </c>
      <c r="C394" t="s">
        <v>232</v>
      </c>
      <c r="D394" t="s">
        <v>28</v>
      </c>
      <c r="E394" t="str" cm="1">
        <f t="array" ref="E394">_xlfn.XLOOKUP(D394,_xlfn.ANCHORARRAY('Item_ Master'!$A$2),'Item_ Master'!$B$2:$B$14,0,0)</f>
        <v>Household</v>
      </c>
      <c r="F394">
        <v>3</v>
      </c>
      <c r="G394" s="3">
        <v>228.01</v>
      </c>
      <c r="H394" t="s">
        <v>43</v>
      </c>
      <c r="I394" s="2">
        <f t="shared" si="6"/>
        <v>684.03</v>
      </c>
    </row>
    <row r="395" spans="1:9" x14ac:dyDescent="0.2">
      <c r="A395" s="1">
        <v>45585</v>
      </c>
      <c r="B395" t="s">
        <v>89</v>
      </c>
      <c r="C395" t="s">
        <v>232</v>
      </c>
      <c r="D395" t="s">
        <v>71</v>
      </c>
      <c r="E395" t="str" cm="1">
        <f t="array" ref="E395">_xlfn.XLOOKUP(D395,_xlfn.ANCHORARRAY('Item_ Master'!$A$2),'Item_ Master'!$B$2:$B$14,0,0)</f>
        <v>Household</v>
      </c>
      <c r="F395">
        <v>2</v>
      </c>
      <c r="G395" s="3">
        <v>124.57</v>
      </c>
      <c r="H395" t="s">
        <v>20</v>
      </c>
      <c r="I395" s="2">
        <f t="shared" si="6"/>
        <v>249.14</v>
      </c>
    </row>
    <row r="396" spans="1:9" x14ac:dyDescent="0.2">
      <c r="A396" s="1">
        <v>45433</v>
      </c>
      <c r="B396" t="s">
        <v>163</v>
      </c>
      <c r="C396" t="s">
        <v>233</v>
      </c>
      <c r="D396" t="s">
        <v>23</v>
      </c>
      <c r="E396" t="str" cm="1">
        <f t="array" ref="E396">_xlfn.XLOOKUP(D396,_xlfn.ANCHORARRAY('Item_ Master'!$A$2),'Item_ Master'!$B$2:$B$14,0,0)</f>
        <v>Produce</v>
      </c>
      <c r="F396">
        <v>3</v>
      </c>
      <c r="G396" s="3">
        <v>187.32</v>
      </c>
      <c r="H396" t="s">
        <v>43</v>
      </c>
      <c r="I396" s="2">
        <f t="shared" si="6"/>
        <v>561.96</v>
      </c>
    </row>
    <row r="397" spans="1:9" x14ac:dyDescent="0.2">
      <c r="A397" s="1">
        <v>45418</v>
      </c>
      <c r="B397" t="s">
        <v>21</v>
      </c>
      <c r="C397" t="s">
        <v>234</v>
      </c>
      <c r="D397" t="s">
        <v>62</v>
      </c>
      <c r="E397" t="str" cm="1">
        <f t="array" ref="E397">_xlfn.XLOOKUP(D397,_xlfn.ANCHORARRAY('Item_ Master'!$A$2),'Item_ Master'!$B$2:$B$14,0,0)</f>
        <v>Produce</v>
      </c>
      <c r="F397">
        <v>3</v>
      </c>
      <c r="G397" s="3">
        <v>367.58</v>
      </c>
      <c r="H397" t="s">
        <v>20</v>
      </c>
      <c r="I397" s="2">
        <f t="shared" si="6"/>
        <v>1102.74</v>
      </c>
    </row>
    <row r="398" spans="1:9" x14ac:dyDescent="0.2">
      <c r="A398" s="1">
        <v>45484</v>
      </c>
      <c r="B398" t="s">
        <v>176</v>
      </c>
      <c r="C398" t="s">
        <v>231</v>
      </c>
      <c r="D398" t="s">
        <v>71</v>
      </c>
      <c r="E398" t="str" cm="1">
        <f t="array" ref="E398">_xlfn.XLOOKUP(D398,_xlfn.ANCHORARRAY('Item_ Master'!$A$2),'Item_ Master'!$B$2:$B$14,0,0)</f>
        <v>Household</v>
      </c>
      <c r="F398">
        <v>2</v>
      </c>
      <c r="G398" s="3">
        <v>271.57</v>
      </c>
      <c r="H398" t="s">
        <v>43</v>
      </c>
      <c r="I398" s="2">
        <f t="shared" si="6"/>
        <v>543.14</v>
      </c>
    </row>
    <row r="399" spans="1:9" x14ac:dyDescent="0.2">
      <c r="A399" s="1">
        <v>45480</v>
      </c>
      <c r="B399" t="s">
        <v>141</v>
      </c>
      <c r="C399" t="s">
        <v>234</v>
      </c>
      <c r="D399" t="s">
        <v>59</v>
      </c>
      <c r="E399" t="str" cm="1">
        <f t="array" ref="E399">_xlfn.XLOOKUP(D399,_xlfn.ANCHORARRAY('Item_ Master'!$A$2),'Item_ Master'!$B$2:$B$14,0,0)</f>
        <v>Produce</v>
      </c>
      <c r="F399">
        <v>10</v>
      </c>
      <c r="G399" s="3">
        <v>51.36</v>
      </c>
      <c r="H399" t="s">
        <v>43</v>
      </c>
      <c r="I399" s="2">
        <f t="shared" si="6"/>
        <v>513.6</v>
      </c>
    </row>
    <row r="400" spans="1:9" x14ac:dyDescent="0.2">
      <c r="A400" s="1">
        <v>45526</v>
      </c>
      <c r="B400" t="s">
        <v>215</v>
      </c>
      <c r="C400" t="s">
        <v>235</v>
      </c>
      <c r="D400" t="s">
        <v>52</v>
      </c>
      <c r="E400" t="str" cm="1">
        <f t="array" ref="E400">_xlfn.XLOOKUP(D400,_xlfn.ANCHORARRAY('Item_ Master'!$A$2),'Item_ Master'!$B$2:$B$14,0,0)</f>
        <v>Dairy</v>
      </c>
      <c r="F400">
        <v>9</v>
      </c>
      <c r="G400" s="3">
        <v>268.74</v>
      </c>
      <c r="H400" t="s">
        <v>20</v>
      </c>
      <c r="I400" s="2">
        <f t="shared" si="6"/>
        <v>2418.66</v>
      </c>
    </row>
    <row r="401" spans="1:9" x14ac:dyDescent="0.2">
      <c r="A401" s="1">
        <v>45545</v>
      </c>
      <c r="B401" t="s">
        <v>89</v>
      </c>
      <c r="C401" t="s">
        <v>235</v>
      </c>
      <c r="D401" t="s">
        <v>40</v>
      </c>
      <c r="E401" t="str" cm="1">
        <f t="array" ref="E401">_xlfn.XLOOKUP(D401,_xlfn.ANCHORARRAY('Item_ Master'!$A$2),'Item_ Master'!$B$2:$B$14,0,0)</f>
        <v>Household</v>
      </c>
      <c r="F401">
        <v>6</v>
      </c>
      <c r="G401" s="3">
        <v>351.02</v>
      </c>
      <c r="H401" t="s">
        <v>12</v>
      </c>
      <c r="I401" s="2">
        <f t="shared" si="6"/>
        <v>2106.12</v>
      </c>
    </row>
    <row r="402" spans="1:9" x14ac:dyDescent="0.2">
      <c r="A402" s="1">
        <v>45540</v>
      </c>
      <c r="B402" t="s">
        <v>53</v>
      </c>
      <c r="C402" t="s">
        <v>231</v>
      </c>
      <c r="D402" t="s">
        <v>52</v>
      </c>
      <c r="E402" t="str" cm="1">
        <f t="array" ref="E402">_xlfn.XLOOKUP(D402,_xlfn.ANCHORARRAY('Item_ Master'!$A$2),'Item_ Master'!$B$2:$B$14,0,0)</f>
        <v>Dairy</v>
      </c>
      <c r="F402">
        <v>2</v>
      </c>
      <c r="G402" s="3">
        <v>394.4</v>
      </c>
      <c r="H402" t="s">
        <v>20</v>
      </c>
      <c r="I402" s="2">
        <f t="shared" si="6"/>
        <v>788.8</v>
      </c>
    </row>
    <row r="403" spans="1:9" x14ac:dyDescent="0.2">
      <c r="A403" s="1">
        <v>45372</v>
      </c>
      <c r="B403" t="s">
        <v>151</v>
      </c>
      <c r="C403" t="s">
        <v>234</v>
      </c>
      <c r="D403" t="s">
        <v>52</v>
      </c>
      <c r="E403" t="str" cm="1">
        <f t="array" ref="E403">_xlfn.XLOOKUP(D403,_xlfn.ANCHORARRAY('Item_ Master'!$A$2),'Item_ Master'!$B$2:$B$14,0,0)</f>
        <v>Dairy</v>
      </c>
      <c r="F403">
        <v>7</v>
      </c>
      <c r="G403" s="3">
        <v>161.28</v>
      </c>
      <c r="H403" t="s">
        <v>43</v>
      </c>
      <c r="I403" s="2">
        <f t="shared" si="6"/>
        <v>1128.96</v>
      </c>
    </row>
    <row r="404" spans="1:9" x14ac:dyDescent="0.2">
      <c r="A404" s="1">
        <v>45446</v>
      </c>
      <c r="B404" t="s">
        <v>76</v>
      </c>
      <c r="C404" t="s">
        <v>235</v>
      </c>
      <c r="D404" t="s">
        <v>52</v>
      </c>
      <c r="E404" t="str" cm="1">
        <f t="array" ref="E404">_xlfn.XLOOKUP(D404,_xlfn.ANCHORARRAY('Item_ Master'!$A$2),'Item_ Master'!$B$2:$B$14,0,0)</f>
        <v>Dairy</v>
      </c>
      <c r="F404">
        <v>6</v>
      </c>
      <c r="G404" s="3">
        <v>187.71</v>
      </c>
      <c r="H404" t="s">
        <v>20</v>
      </c>
      <c r="I404" s="2">
        <f t="shared" si="6"/>
        <v>1126.26</v>
      </c>
    </row>
    <row r="405" spans="1:9" x14ac:dyDescent="0.2">
      <c r="A405" s="1">
        <v>45376</v>
      </c>
      <c r="B405" t="s">
        <v>111</v>
      </c>
      <c r="C405" t="s">
        <v>234</v>
      </c>
      <c r="D405" t="s">
        <v>71</v>
      </c>
      <c r="E405" t="str" cm="1">
        <f t="array" ref="E405">_xlfn.XLOOKUP(D405,_xlfn.ANCHORARRAY('Item_ Master'!$A$2),'Item_ Master'!$B$2:$B$14,0,0)</f>
        <v>Household</v>
      </c>
      <c r="F405">
        <v>5</v>
      </c>
      <c r="G405" s="3">
        <v>449.29</v>
      </c>
      <c r="H405" t="s">
        <v>12</v>
      </c>
      <c r="I405" s="2">
        <f t="shared" si="6"/>
        <v>2246.4500000000003</v>
      </c>
    </row>
    <row r="406" spans="1:9" x14ac:dyDescent="0.2">
      <c r="A406" s="1">
        <v>45338</v>
      </c>
      <c r="B406" t="s">
        <v>106</v>
      </c>
      <c r="C406" t="s">
        <v>231</v>
      </c>
      <c r="D406" t="s">
        <v>52</v>
      </c>
      <c r="E406" t="str" cm="1">
        <f t="array" ref="E406">_xlfn.XLOOKUP(D406,_xlfn.ANCHORARRAY('Item_ Master'!$A$2),'Item_ Master'!$B$2:$B$14,0,0)</f>
        <v>Dairy</v>
      </c>
      <c r="F406">
        <v>4</v>
      </c>
      <c r="G406" s="3">
        <v>312.24</v>
      </c>
      <c r="H406" t="s">
        <v>12</v>
      </c>
      <c r="I406" s="2">
        <f t="shared" si="6"/>
        <v>1248.96</v>
      </c>
    </row>
    <row r="407" spans="1:9" x14ac:dyDescent="0.2">
      <c r="A407" s="1">
        <v>45557</v>
      </c>
      <c r="B407" t="s">
        <v>48</v>
      </c>
      <c r="C407" t="s">
        <v>234</v>
      </c>
      <c r="D407" t="s">
        <v>52</v>
      </c>
      <c r="E407" t="str" cm="1">
        <f t="array" ref="E407">_xlfn.XLOOKUP(D407,_xlfn.ANCHORARRAY('Item_ Master'!$A$2),'Item_ Master'!$B$2:$B$14,0,0)</f>
        <v>Dairy</v>
      </c>
      <c r="F407">
        <v>1</v>
      </c>
      <c r="G407" s="3">
        <v>432.58</v>
      </c>
      <c r="H407" t="s">
        <v>12</v>
      </c>
      <c r="I407" s="2">
        <f t="shared" si="6"/>
        <v>432.58</v>
      </c>
    </row>
    <row r="408" spans="1:9" x14ac:dyDescent="0.2">
      <c r="A408" s="1">
        <v>45508</v>
      </c>
      <c r="B408" t="s">
        <v>216</v>
      </c>
      <c r="C408" t="s">
        <v>233</v>
      </c>
      <c r="D408" t="s">
        <v>62</v>
      </c>
      <c r="E408" t="str" cm="1">
        <f t="array" ref="E408">_xlfn.XLOOKUP(D408,_xlfn.ANCHORARRAY('Item_ Master'!$A$2),'Item_ Master'!$B$2:$B$14,0,0)</f>
        <v>Produce</v>
      </c>
      <c r="F408">
        <v>2</v>
      </c>
      <c r="G408" s="3">
        <v>175.92</v>
      </c>
      <c r="H408" t="s">
        <v>12</v>
      </c>
      <c r="I408" s="2">
        <f t="shared" si="6"/>
        <v>351.84</v>
      </c>
    </row>
    <row r="409" spans="1:9" x14ac:dyDescent="0.2">
      <c r="A409" s="1">
        <v>45344</v>
      </c>
      <c r="B409" t="s">
        <v>24</v>
      </c>
      <c r="C409" t="s">
        <v>235</v>
      </c>
      <c r="D409" t="s">
        <v>59</v>
      </c>
      <c r="E409" t="str" cm="1">
        <f t="array" ref="E409">_xlfn.XLOOKUP(D409,_xlfn.ANCHORARRAY('Item_ Master'!$A$2),'Item_ Master'!$B$2:$B$14,0,0)</f>
        <v>Produce</v>
      </c>
      <c r="F409">
        <v>5</v>
      </c>
      <c r="G409" s="3">
        <v>125.42</v>
      </c>
      <c r="H409" t="s">
        <v>12</v>
      </c>
      <c r="I409" s="2">
        <f t="shared" si="6"/>
        <v>627.1</v>
      </c>
    </row>
    <row r="410" spans="1:9" x14ac:dyDescent="0.2">
      <c r="A410" s="1">
        <v>45365</v>
      </c>
      <c r="B410" t="s">
        <v>116</v>
      </c>
      <c r="C410" t="s">
        <v>232</v>
      </c>
      <c r="D410" t="s">
        <v>78</v>
      </c>
      <c r="E410" t="str" cm="1">
        <f t="array" ref="E410">_xlfn.XLOOKUP(D410,_xlfn.ANCHORARRAY('Item_ Master'!$A$2),'Item_ Master'!$B$2:$B$14,0,0)</f>
        <v>Personal Care</v>
      </c>
      <c r="F410">
        <v>1</v>
      </c>
      <c r="G410" s="3">
        <v>385.68</v>
      </c>
      <c r="H410" t="s">
        <v>12</v>
      </c>
      <c r="I410" s="2">
        <f t="shared" si="6"/>
        <v>385.68</v>
      </c>
    </row>
    <row r="411" spans="1:9" x14ac:dyDescent="0.2">
      <c r="A411" s="1">
        <v>45401</v>
      </c>
      <c r="B411" t="s">
        <v>30</v>
      </c>
      <c r="C411" t="s">
        <v>233</v>
      </c>
      <c r="D411" t="s">
        <v>25</v>
      </c>
      <c r="E411" t="str" cm="1">
        <f t="array" ref="E411">_xlfn.XLOOKUP(D411,_xlfn.ANCHORARRAY('Item_ Master'!$A$2),'Item_ Master'!$B$2:$B$14,0,0)</f>
        <v>Grocery</v>
      </c>
      <c r="F411">
        <v>10</v>
      </c>
      <c r="G411" s="3">
        <v>427.61</v>
      </c>
      <c r="H411" t="s">
        <v>12</v>
      </c>
      <c r="I411" s="2">
        <f t="shared" si="6"/>
        <v>4276.1000000000004</v>
      </c>
    </row>
    <row r="412" spans="1:9" x14ac:dyDescent="0.2">
      <c r="A412" s="1">
        <v>45343</v>
      </c>
      <c r="B412" t="s">
        <v>46</v>
      </c>
      <c r="C412" t="s">
        <v>231</v>
      </c>
      <c r="D412" t="s">
        <v>78</v>
      </c>
      <c r="E412" t="str" cm="1">
        <f t="array" ref="E412">_xlfn.XLOOKUP(D412,_xlfn.ANCHORARRAY('Item_ Master'!$A$2),'Item_ Master'!$B$2:$B$14,0,0)</f>
        <v>Personal Care</v>
      </c>
      <c r="F412">
        <v>7</v>
      </c>
      <c r="G412" s="3">
        <v>243.34</v>
      </c>
      <c r="H412" t="s">
        <v>20</v>
      </c>
      <c r="I412" s="2">
        <f t="shared" si="6"/>
        <v>1703.38</v>
      </c>
    </row>
    <row r="413" spans="1:9" x14ac:dyDescent="0.2">
      <c r="A413" s="1">
        <v>45363</v>
      </c>
      <c r="B413" t="s">
        <v>112</v>
      </c>
      <c r="C413" t="s">
        <v>235</v>
      </c>
      <c r="D413" t="s">
        <v>71</v>
      </c>
      <c r="E413" t="str" cm="1">
        <f t="array" ref="E413">_xlfn.XLOOKUP(D413,_xlfn.ANCHORARRAY('Item_ Master'!$A$2),'Item_ Master'!$B$2:$B$14,0,0)</f>
        <v>Household</v>
      </c>
      <c r="F413">
        <v>2</v>
      </c>
      <c r="G413" s="3">
        <v>186.49</v>
      </c>
      <c r="H413" t="s">
        <v>43</v>
      </c>
      <c r="I413" s="2">
        <f t="shared" si="6"/>
        <v>372.98</v>
      </c>
    </row>
    <row r="414" spans="1:9" x14ac:dyDescent="0.2">
      <c r="A414" s="1">
        <v>45603</v>
      </c>
      <c r="B414" t="s">
        <v>181</v>
      </c>
      <c r="C414" t="s">
        <v>231</v>
      </c>
      <c r="D414" t="s">
        <v>71</v>
      </c>
      <c r="E414" t="str" cm="1">
        <f t="array" ref="E414">_xlfn.XLOOKUP(D414,_xlfn.ANCHORARRAY('Item_ Master'!$A$2),'Item_ Master'!$B$2:$B$14,0,0)</f>
        <v>Household</v>
      </c>
      <c r="F414">
        <v>5</v>
      </c>
      <c r="G414" s="3">
        <v>163</v>
      </c>
      <c r="H414" t="s">
        <v>43</v>
      </c>
      <c r="I414" s="2">
        <f t="shared" si="6"/>
        <v>815</v>
      </c>
    </row>
    <row r="415" spans="1:9" x14ac:dyDescent="0.2">
      <c r="A415" s="1">
        <v>45492</v>
      </c>
      <c r="B415" t="s">
        <v>146</v>
      </c>
      <c r="C415" t="s">
        <v>231</v>
      </c>
      <c r="D415" t="s">
        <v>40</v>
      </c>
      <c r="E415" t="str" cm="1">
        <f t="array" ref="E415">_xlfn.XLOOKUP(D415,_xlfn.ANCHORARRAY('Item_ Master'!$A$2),'Item_ Master'!$B$2:$B$14,0,0)</f>
        <v>Household</v>
      </c>
      <c r="F415">
        <v>8</v>
      </c>
      <c r="G415" s="3">
        <v>262.24</v>
      </c>
      <c r="H415" t="s">
        <v>12</v>
      </c>
      <c r="I415" s="2">
        <f t="shared" si="6"/>
        <v>2097.92</v>
      </c>
    </row>
    <row r="416" spans="1:9" x14ac:dyDescent="0.2">
      <c r="A416" s="1">
        <v>45596</v>
      </c>
      <c r="B416" t="s">
        <v>175</v>
      </c>
      <c r="C416" t="s">
        <v>232</v>
      </c>
      <c r="D416" t="s">
        <v>52</v>
      </c>
      <c r="E416" t="str" cm="1">
        <f t="array" ref="E416">_xlfn.XLOOKUP(D416,_xlfn.ANCHORARRAY('Item_ Master'!$A$2),'Item_ Master'!$B$2:$B$14,0,0)</f>
        <v>Dairy</v>
      </c>
      <c r="F416">
        <v>6</v>
      </c>
      <c r="G416" s="3">
        <v>563.66</v>
      </c>
      <c r="H416" t="s">
        <v>12</v>
      </c>
      <c r="I416" s="2">
        <f t="shared" si="6"/>
        <v>3381.96</v>
      </c>
    </row>
    <row r="417" spans="1:9" x14ac:dyDescent="0.2">
      <c r="A417" s="1">
        <v>45583</v>
      </c>
      <c r="B417" t="s">
        <v>155</v>
      </c>
      <c r="C417" t="s">
        <v>235</v>
      </c>
      <c r="D417" t="s">
        <v>28</v>
      </c>
      <c r="E417" t="str" cm="1">
        <f t="array" ref="E417">_xlfn.XLOOKUP(D417,_xlfn.ANCHORARRAY('Item_ Master'!$A$2),'Item_ Master'!$B$2:$B$14,0,0)</f>
        <v>Household</v>
      </c>
      <c r="F417">
        <v>3</v>
      </c>
      <c r="G417" s="3">
        <v>469.5</v>
      </c>
      <c r="H417" t="s">
        <v>12</v>
      </c>
      <c r="I417" s="2">
        <f t="shared" si="6"/>
        <v>1408.5</v>
      </c>
    </row>
    <row r="418" spans="1:9" x14ac:dyDescent="0.2">
      <c r="A418" s="1">
        <v>45326</v>
      </c>
      <c r="B418" t="s">
        <v>137</v>
      </c>
      <c r="C418" t="s">
        <v>235</v>
      </c>
      <c r="D418" t="s">
        <v>57</v>
      </c>
      <c r="E418" t="str" cm="1">
        <f t="array" ref="E418">_xlfn.XLOOKUP(D418,_xlfn.ANCHORARRAY('Item_ Master'!$A$2),'Item_ Master'!$B$2:$B$14,0,0)</f>
        <v>Bakery</v>
      </c>
      <c r="F418">
        <v>1</v>
      </c>
      <c r="G418" s="3">
        <v>557.41999999999996</v>
      </c>
      <c r="H418" t="s">
        <v>20</v>
      </c>
      <c r="I418" s="2">
        <f t="shared" si="6"/>
        <v>557.41999999999996</v>
      </c>
    </row>
    <row r="419" spans="1:9" x14ac:dyDescent="0.2">
      <c r="A419" s="1">
        <v>45613</v>
      </c>
      <c r="B419" t="s">
        <v>183</v>
      </c>
      <c r="C419" t="s">
        <v>232</v>
      </c>
      <c r="D419" t="s">
        <v>25</v>
      </c>
      <c r="E419" t="str" cm="1">
        <f t="array" ref="E419">_xlfn.XLOOKUP(D419,_xlfn.ANCHORARRAY('Item_ Master'!$A$2),'Item_ Master'!$B$2:$B$14,0,0)</f>
        <v>Grocery</v>
      </c>
      <c r="F419">
        <v>7</v>
      </c>
      <c r="G419" s="3">
        <v>436</v>
      </c>
      <c r="H419" t="s">
        <v>12</v>
      </c>
      <c r="I419" s="2">
        <f t="shared" si="6"/>
        <v>3052</v>
      </c>
    </row>
    <row r="420" spans="1:9" x14ac:dyDescent="0.2">
      <c r="A420" s="1">
        <v>45567</v>
      </c>
      <c r="B420" t="s">
        <v>94</v>
      </c>
      <c r="C420" t="s">
        <v>233</v>
      </c>
      <c r="D420" t="s">
        <v>40</v>
      </c>
      <c r="E420" t="str" cm="1">
        <f t="array" ref="E420">_xlfn.XLOOKUP(D420,_xlfn.ANCHORARRAY('Item_ Master'!$A$2),'Item_ Master'!$B$2:$B$14,0,0)</f>
        <v>Household</v>
      </c>
      <c r="F420">
        <v>2</v>
      </c>
      <c r="G420" s="3">
        <v>220.45</v>
      </c>
      <c r="H420" t="s">
        <v>43</v>
      </c>
      <c r="I420" s="2">
        <f t="shared" si="6"/>
        <v>440.9</v>
      </c>
    </row>
    <row r="421" spans="1:9" x14ac:dyDescent="0.2">
      <c r="A421" s="1">
        <v>45371</v>
      </c>
      <c r="B421" t="s">
        <v>45</v>
      </c>
      <c r="C421" t="s">
        <v>235</v>
      </c>
      <c r="D421" t="s">
        <v>25</v>
      </c>
      <c r="E421" t="str" cm="1">
        <f t="array" ref="E421">_xlfn.XLOOKUP(D421,_xlfn.ANCHORARRAY('Item_ Master'!$A$2),'Item_ Master'!$B$2:$B$14,0,0)</f>
        <v>Grocery</v>
      </c>
      <c r="F421">
        <v>10</v>
      </c>
      <c r="G421" s="3">
        <v>398.86</v>
      </c>
      <c r="H421" t="s">
        <v>43</v>
      </c>
      <c r="I421" s="2">
        <f t="shared" si="6"/>
        <v>3988.6000000000004</v>
      </c>
    </row>
    <row r="422" spans="1:9" x14ac:dyDescent="0.2">
      <c r="A422" s="1">
        <v>45325</v>
      </c>
      <c r="B422" t="s">
        <v>217</v>
      </c>
      <c r="C422" t="s">
        <v>234</v>
      </c>
      <c r="D422" t="s">
        <v>10</v>
      </c>
      <c r="E422" t="str" cm="1">
        <f t="array" ref="E422">_xlfn.XLOOKUP(D422,_xlfn.ANCHORARRAY('Item_ Master'!$A$2),'Item_ Master'!$B$2:$B$14,0,0)</f>
        <v>Produce</v>
      </c>
      <c r="F422">
        <v>4</v>
      </c>
      <c r="G422" s="3">
        <v>81.849999999999994</v>
      </c>
      <c r="H422" t="s">
        <v>12</v>
      </c>
      <c r="I422" s="2">
        <f t="shared" si="6"/>
        <v>327.39999999999998</v>
      </c>
    </row>
    <row r="423" spans="1:9" x14ac:dyDescent="0.2">
      <c r="A423" s="1">
        <v>45351</v>
      </c>
      <c r="B423" t="s">
        <v>141</v>
      </c>
      <c r="C423" t="s">
        <v>232</v>
      </c>
      <c r="D423" t="s">
        <v>49</v>
      </c>
      <c r="E423" t="str" cm="1">
        <f t="array" ref="E423">_xlfn.XLOOKUP(D423,_xlfn.ANCHORARRAY('Item_ Master'!$A$2),'Item_ Master'!$B$2:$B$14,0,0)</f>
        <v>Personal Care</v>
      </c>
      <c r="F423">
        <v>1</v>
      </c>
      <c r="G423" s="3">
        <v>220.11</v>
      </c>
      <c r="H423" t="s">
        <v>43</v>
      </c>
      <c r="I423" s="2">
        <f t="shared" si="6"/>
        <v>220.11</v>
      </c>
    </row>
    <row r="424" spans="1:9" x14ac:dyDescent="0.2">
      <c r="A424" s="1">
        <v>45381</v>
      </c>
      <c r="B424" t="s">
        <v>121</v>
      </c>
      <c r="C424" t="s">
        <v>231</v>
      </c>
      <c r="D424" t="s">
        <v>23</v>
      </c>
      <c r="E424" t="str" cm="1">
        <f t="array" ref="E424">_xlfn.XLOOKUP(D424,_xlfn.ANCHORARRAY('Item_ Master'!$A$2),'Item_ Master'!$B$2:$B$14,0,0)</f>
        <v>Produce</v>
      </c>
      <c r="F424">
        <v>3</v>
      </c>
      <c r="G424" s="3">
        <v>435.82</v>
      </c>
      <c r="H424" t="s">
        <v>12</v>
      </c>
      <c r="I424" s="2">
        <f t="shared" si="6"/>
        <v>1307.46</v>
      </c>
    </row>
    <row r="425" spans="1:9" x14ac:dyDescent="0.2">
      <c r="A425" s="1">
        <v>45469</v>
      </c>
      <c r="B425" t="s">
        <v>211</v>
      </c>
      <c r="C425" t="s">
        <v>232</v>
      </c>
      <c r="D425" t="s">
        <v>10</v>
      </c>
      <c r="E425" t="str" cm="1">
        <f t="array" ref="E425">_xlfn.XLOOKUP(D425,_xlfn.ANCHORARRAY('Item_ Master'!$A$2),'Item_ Master'!$B$2:$B$14,0,0)</f>
        <v>Produce</v>
      </c>
      <c r="F425">
        <v>5</v>
      </c>
      <c r="G425" s="3">
        <v>141.83000000000001</v>
      </c>
      <c r="H425" t="s">
        <v>12</v>
      </c>
      <c r="I425" s="2">
        <f t="shared" si="6"/>
        <v>709.15000000000009</v>
      </c>
    </row>
    <row r="426" spans="1:9" x14ac:dyDescent="0.2">
      <c r="A426" s="1">
        <v>45429</v>
      </c>
      <c r="B426" t="s">
        <v>218</v>
      </c>
      <c r="C426" t="s">
        <v>231</v>
      </c>
      <c r="D426" t="s">
        <v>52</v>
      </c>
      <c r="E426" t="str" cm="1">
        <f t="array" ref="E426">_xlfn.XLOOKUP(D426,_xlfn.ANCHORARRAY('Item_ Master'!$A$2),'Item_ Master'!$B$2:$B$14,0,0)</f>
        <v>Dairy</v>
      </c>
      <c r="F426">
        <v>6</v>
      </c>
      <c r="G426" s="3">
        <v>493.91</v>
      </c>
      <c r="H426" t="s">
        <v>20</v>
      </c>
      <c r="I426" s="2">
        <f t="shared" si="6"/>
        <v>2963.46</v>
      </c>
    </row>
    <row r="427" spans="1:9" x14ac:dyDescent="0.2">
      <c r="A427" s="1">
        <v>45426</v>
      </c>
      <c r="B427" t="s">
        <v>183</v>
      </c>
      <c r="C427" t="s">
        <v>232</v>
      </c>
      <c r="D427" t="s">
        <v>71</v>
      </c>
      <c r="E427" t="str" cm="1">
        <f t="array" ref="E427">_xlfn.XLOOKUP(D427,_xlfn.ANCHORARRAY('Item_ Master'!$A$2),'Item_ Master'!$B$2:$B$14,0,0)</f>
        <v>Household</v>
      </c>
      <c r="F427">
        <v>2</v>
      </c>
      <c r="G427" s="3">
        <v>322.88</v>
      </c>
      <c r="H427" t="s">
        <v>43</v>
      </c>
      <c r="I427" s="2">
        <f t="shared" si="6"/>
        <v>645.76</v>
      </c>
    </row>
    <row r="428" spans="1:9" x14ac:dyDescent="0.2">
      <c r="A428" s="1">
        <v>45547</v>
      </c>
      <c r="B428" t="s">
        <v>118</v>
      </c>
      <c r="C428" t="s">
        <v>233</v>
      </c>
      <c r="D428" t="s">
        <v>59</v>
      </c>
      <c r="E428" t="str" cm="1">
        <f t="array" ref="E428">_xlfn.XLOOKUP(D428,_xlfn.ANCHORARRAY('Item_ Master'!$A$2),'Item_ Master'!$B$2:$B$14,0,0)</f>
        <v>Produce</v>
      </c>
      <c r="F428">
        <v>3</v>
      </c>
      <c r="G428" s="3">
        <v>190.31</v>
      </c>
      <c r="H428" t="s">
        <v>12</v>
      </c>
      <c r="I428" s="2">
        <f t="shared" si="6"/>
        <v>570.93000000000006</v>
      </c>
    </row>
    <row r="429" spans="1:9" x14ac:dyDescent="0.2">
      <c r="A429" s="1">
        <v>45351</v>
      </c>
      <c r="B429" t="s">
        <v>200</v>
      </c>
      <c r="C429" t="s">
        <v>232</v>
      </c>
      <c r="D429" t="s">
        <v>52</v>
      </c>
      <c r="E429" t="str" cm="1">
        <f t="array" ref="E429">_xlfn.XLOOKUP(D429,_xlfn.ANCHORARRAY('Item_ Master'!$A$2),'Item_ Master'!$B$2:$B$14,0,0)</f>
        <v>Dairy</v>
      </c>
      <c r="F429">
        <v>1</v>
      </c>
      <c r="G429" s="3">
        <v>522.28</v>
      </c>
      <c r="H429" t="s">
        <v>12</v>
      </c>
      <c r="I429" s="2">
        <f t="shared" si="6"/>
        <v>522.28</v>
      </c>
    </row>
    <row r="430" spans="1:9" x14ac:dyDescent="0.2">
      <c r="A430" s="1">
        <v>45533</v>
      </c>
      <c r="B430" t="s">
        <v>36</v>
      </c>
      <c r="C430" t="s">
        <v>234</v>
      </c>
      <c r="D430" t="s">
        <v>57</v>
      </c>
      <c r="E430" t="str" cm="1">
        <f t="array" ref="E430">_xlfn.XLOOKUP(D430,_xlfn.ANCHORARRAY('Item_ Master'!$A$2),'Item_ Master'!$B$2:$B$14,0,0)</f>
        <v>Bakery</v>
      </c>
      <c r="F430">
        <v>3</v>
      </c>
      <c r="G430" s="3">
        <v>562.14</v>
      </c>
      <c r="H430" t="s">
        <v>12</v>
      </c>
      <c r="I430" s="2">
        <f t="shared" si="6"/>
        <v>1686.42</v>
      </c>
    </row>
    <row r="431" spans="1:9" x14ac:dyDescent="0.2">
      <c r="A431" s="1">
        <v>45506</v>
      </c>
      <c r="B431" t="s">
        <v>166</v>
      </c>
      <c r="C431" t="s">
        <v>235</v>
      </c>
      <c r="D431" t="s">
        <v>40</v>
      </c>
      <c r="E431" t="str" cm="1">
        <f t="array" ref="E431">_xlfn.XLOOKUP(D431,_xlfn.ANCHORARRAY('Item_ Master'!$A$2),'Item_ Master'!$B$2:$B$14,0,0)</f>
        <v>Household</v>
      </c>
      <c r="F431">
        <v>7</v>
      </c>
      <c r="G431" s="3">
        <v>553.72</v>
      </c>
      <c r="H431" t="s">
        <v>20</v>
      </c>
      <c r="I431" s="2">
        <f t="shared" si="6"/>
        <v>3876.04</v>
      </c>
    </row>
    <row r="432" spans="1:9" x14ac:dyDescent="0.2">
      <c r="A432" s="1">
        <v>45331</v>
      </c>
      <c r="B432" t="s">
        <v>219</v>
      </c>
      <c r="C432" t="s">
        <v>235</v>
      </c>
      <c r="D432" t="s">
        <v>52</v>
      </c>
      <c r="E432" t="str" cm="1">
        <f t="array" ref="E432">_xlfn.XLOOKUP(D432,_xlfn.ANCHORARRAY('Item_ Master'!$A$2),'Item_ Master'!$B$2:$B$14,0,0)</f>
        <v>Dairy</v>
      </c>
      <c r="F432">
        <v>9</v>
      </c>
      <c r="G432" s="3">
        <v>420.33</v>
      </c>
      <c r="H432" t="s">
        <v>12</v>
      </c>
      <c r="I432" s="2">
        <f t="shared" si="6"/>
        <v>3782.97</v>
      </c>
    </row>
    <row r="433" spans="1:9" x14ac:dyDescent="0.2">
      <c r="A433" s="1">
        <v>45556</v>
      </c>
      <c r="B433" t="s">
        <v>142</v>
      </c>
      <c r="C433" t="s">
        <v>234</v>
      </c>
      <c r="D433" t="s">
        <v>52</v>
      </c>
      <c r="E433" t="str" cm="1">
        <f t="array" ref="E433">_xlfn.XLOOKUP(D433,_xlfn.ANCHORARRAY('Item_ Master'!$A$2),'Item_ Master'!$B$2:$B$14,0,0)</f>
        <v>Dairy</v>
      </c>
      <c r="F433">
        <v>8</v>
      </c>
      <c r="G433" s="3">
        <v>526.32000000000005</v>
      </c>
      <c r="H433" t="s">
        <v>20</v>
      </c>
      <c r="I433" s="2">
        <f t="shared" si="6"/>
        <v>4210.5600000000004</v>
      </c>
    </row>
    <row r="434" spans="1:9" x14ac:dyDescent="0.2">
      <c r="A434" s="1">
        <v>45575</v>
      </c>
      <c r="B434" t="s">
        <v>141</v>
      </c>
      <c r="C434" t="s">
        <v>231</v>
      </c>
      <c r="D434" t="s">
        <v>59</v>
      </c>
      <c r="E434" t="str" cm="1">
        <f t="array" ref="E434">_xlfn.XLOOKUP(D434,_xlfn.ANCHORARRAY('Item_ Master'!$A$2),'Item_ Master'!$B$2:$B$14,0,0)</f>
        <v>Produce</v>
      </c>
      <c r="F434">
        <v>4</v>
      </c>
      <c r="G434" s="3">
        <v>210.38</v>
      </c>
      <c r="H434" t="s">
        <v>20</v>
      </c>
      <c r="I434" s="2">
        <f t="shared" si="6"/>
        <v>841.52</v>
      </c>
    </row>
    <row r="435" spans="1:9" x14ac:dyDescent="0.2">
      <c r="A435" s="1">
        <v>45416</v>
      </c>
      <c r="B435" t="s">
        <v>220</v>
      </c>
      <c r="C435" t="s">
        <v>235</v>
      </c>
      <c r="D435" t="s">
        <v>78</v>
      </c>
      <c r="E435" t="str" cm="1">
        <f t="array" ref="E435">_xlfn.XLOOKUP(D435,_xlfn.ANCHORARRAY('Item_ Master'!$A$2),'Item_ Master'!$B$2:$B$14,0,0)</f>
        <v>Personal Care</v>
      </c>
      <c r="F435">
        <v>8</v>
      </c>
      <c r="G435" s="3">
        <v>598.78</v>
      </c>
      <c r="H435" t="s">
        <v>12</v>
      </c>
      <c r="I435" s="2">
        <f t="shared" si="6"/>
        <v>4790.24</v>
      </c>
    </row>
    <row r="436" spans="1:9" x14ac:dyDescent="0.2">
      <c r="A436" s="1">
        <v>45571</v>
      </c>
      <c r="B436" t="s">
        <v>21</v>
      </c>
      <c r="C436" t="s">
        <v>233</v>
      </c>
      <c r="D436" t="s">
        <v>57</v>
      </c>
      <c r="E436" t="str" cm="1">
        <f t="array" ref="E436">_xlfn.XLOOKUP(D436,_xlfn.ANCHORARRAY('Item_ Master'!$A$2),'Item_ Master'!$B$2:$B$14,0,0)</f>
        <v>Bakery</v>
      </c>
      <c r="F436">
        <v>1</v>
      </c>
      <c r="G436" s="3">
        <v>562.82000000000005</v>
      </c>
      <c r="H436" t="s">
        <v>12</v>
      </c>
      <c r="I436" s="2">
        <f t="shared" si="6"/>
        <v>562.82000000000005</v>
      </c>
    </row>
    <row r="437" spans="1:9" x14ac:dyDescent="0.2">
      <c r="A437" s="1">
        <v>45469</v>
      </c>
      <c r="B437" t="s">
        <v>215</v>
      </c>
      <c r="C437" t="s">
        <v>231</v>
      </c>
      <c r="D437" t="s">
        <v>59</v>
      </c>
      <c r="E437" t="str" cm="1">
        <f t="array" ref="E437">_xlfn.XLOOKUP(D437,_xlfn.ANCHORARRAY('Item_ Master'!$A$2),'Item_ Master'!$B$2:$B$14,0,0)</f>
        <v>Produce</v>
      </c>
      <c r="F437">
        <v>1</v>
      </c>
      <c r="G437" s="3">
        <v>467.41</v>
      </c>
      <c r="H437" t="s">
        <v>20</v>
      </c>
      <c r="I437" s="2">
        <f t="shared" si="6"/>
        <v>467.41</v>
      </c>
    </row>
    <row r="438" spans="1:9" x14ac:dyDescent="0.2">
      <c r="A438" s="1">
        <v>45449</v>
      </c>
      <c r="B438" t="s">
        <v>24</v>
      </c>
      <c r="C438" t="s">
        <v>233</v>
      </c>
      <c r="D438" t="s">
        <v>251</v>
      </c>
      <c r="E438" t="str" cm="1">
        <f t="array" ref="E438">_xlfn.XLOOKUP(D438,_xlfn.ANCHORARRAY('Item_ Master'!$A$2),'Item_ Master'!$B$2:$B$14,0,0)</f>
        <v>Household</v>
      </c>
      <c r="F438">
        <v>4</v>
      </c>
      <c r="G438" s="3">
        <v>280.89999999999998</v>
      </c>
      <c r="H438" t="s">
        <v>12</v>
      </c>
      <c r="I438" s="2">
        <f t="shared" si="6"/>
        <v>1123.5999999999999</v>
      </c>
    </row>
    <row r="439" spans="1:9" x14ac:dyDescent="0.2">
      <c r="A439" s="1">
        <v>45364</v>
      </c>
      <c r="B439" t="s">
        <v>183</v>
      </c>
      <c r="C439" t="s">
        <v>235</v>
      </c>
      <c r="D439" t="s">
        <v>52</v>
      </c>
      <c r="E439" t="str" cm="1">
        <f t="array" ref="E439">_xlfn.XLOOKUP(D439,_xlfn.ANCHORARRAY('Item_ Master'!$A$2),'Item_ Master'!$B$2:$B$14,0,0)</f>
        <v>Dairy</v>
      </c>
      <c r="F439">
        <v>1</v>
      </c>
      <c r="G439" s="3">
        <v>556.70000000000005</v>
      </c>
      <c r="H439" t="s">
        <v>43</v>
      </c>
      <c r="I439" s="2">
        <f t="shared" si="6"/>
        <v>556.70000000000005</v>
      </c>
    </row>
    <row r="440" spans="1:9" x14ac:dyDescent="0.2">
      <c r="A440" s="1">
        <v>45482</v>
      </c>
      <c r="B440" t="s">
        <v>173</v>
      </c>
      <c r="C440" t="s">
        <v>231</v>
      </c>
      <c r="D440" t="s">
        <v>78</v>
      </c>
      <c r="E440" t="str" cm="1">
        <f t="array" ref="E440">_xlfn.XLOOKUP(D440,_xlfn.ANCHORARRAY('Item_ Master'!$A$2),'Item_ Master'!$B$2:$B$14,0,0)</f>
        <v>Personal Care</v>
      </c>
      <c r="F440">
        <v>2</v>
      </c>
      <c r="G440" s="3">
        <v>327.99</v>
      </c>
      <c r="H440" t="s">
        <v>43</v>
      </c>
      <c r="I440" s="2">
        <f t="shared" si="6"/>
        <v>655.98</v>
      </c>
    </row>
    <row r="441" spans="1:9" x14ac:dyDescent="0.2">
      <c r="A441" s="1">
        <v>45330</v>
      </c>
      <c r="B441" t="s">
        <v>191</v>
      </c>
      <c r="C441" t="s">
        <v>232</v>
      </c>
      <c r="D441" t="s">
        <v>52</v>
      </c>
      <c r="E441" t="str" cm="1">
        <f t="array" ref="E441">_xlfn.XLOOKUP(D441,_xlfn.ANCHORARRAY('Item_ Master'!$A$2),'Item_ Master'!$B$2:$B$14,0,0)</f>
        <v>Dairy</v>
      </c>
      <c r="F441">
        <v>7</v>
      </c>
      <c r="G441" s="3">
        <v>414.34</v>
      </c>
      <c r="H441" t="s">
        <v>12</v>
      </c>
      <c r="I441" s="2">
        <f t="shared" si="6"/>
        <v>2900.3799999999997</v>
      </c>
    </row>
    <row r="442" spans="1:9" x14ac:dyDescent="0.2">
      <c r="A442" s="1">
        <v>45425</v>
      </c>
      <c r="B442" t="s">
        <v>41</v>
      </c>
      <c r="C442" t="s">
        <v>234</v>
      </c>
      <c r="D442" t="s">
        <v>23</v>
      </c>
      <c r="E442" t="str" cm="1">
        <f t="array" ref="E442">_xlfn.XLOOKUP(D442,_xlfn.ANCHORARRAY('Item_ Master'!$A$2),'Item_ Master'!$B$2:$B$14,0,0)</f>
        <v>Produce</v>
      </c>
      <c r="F442">
        <v>6</v>
      </c>
      <c r="G442" s="3">
        <v>224.93</v>
      </c>
      <c r="H442" t="s">
        <v>20</v>
      </c>
      <c r="I442" s="2">
        <f t="shared" si="6"/>
        <v>1349.58</v>
      </c>
    </row>
    <row r="443" spans="1:9" x14ac:dyDescent="0.2">
      <c r="A443" s="1">
        <v>45395</v>
      </c>
      <c r="B443" t="s">
        <v>83</v>
      </c>
      <c r="C443" t="s">
        <v>232</v>
      </c>
      <c r="D443" t="s">
        <v>52</v>
      </c>
      <c r="E443" t="str" cm="1">
        <f t="array" ref="E443">_xlfn.XLOOKUP(D443,_xlfn.ANCHORARRAY('Item_ Master'!$A$2),'Item_ Master'!$B$2:$B$14,0,0)</f>
        <v>Dairy</v>
      </c>
      <c r="F443">
        <v>3</v>
      </c>
      <c r="G443" s="3">
        <v>108.11</v>
      </c>
      <c r="H443" t="s">
        <v>20</v>
      </c>
      <c r="I443" s="2">
        <f t="shared" si="6"/>
        <v>324.33</v>
      </c>
    </row>
    <row r="444" spans="1:9" x14ac:dyDescent="0.2">
      <c r="A444" s="1">
        <v>45500</v>
      </c>
      <c r="B444" t="s">
        <v>121</v>
      </c>
      <c r="C444" t="s">
        <v>232</v>
      </c>
      <c r="D444" t="s">
        <v>59</v>
      </c>
      <c r="E444" t="str" cm="1">
        <f t="array" ref="E444">_xlfn.XLOOKUP(D444,_xlfn.ANCHORARRAY('Item_ Master'!$A$2),'Item_ Master'!$B$2:$B$14,0,0)</f>
        <v>Produce</v>
      </c>
      <c r="F444">
        <v>4</v>
      </c>
      <c r="G444" s="3">
        <v>298.55</v>
      </c>
      <c r="H444" t="s">
        <v>20</v>
      </c>
      <c r="I444" s="2">
        <f t="shared" si="6"/>
        <v>1194.2</v>
      </c>
    </row>
    <row r="445" spans="1:9" x14ac:dyDescent="0.2">
      <c r="A445" s="1">
        <v>45353</v>
      </c>
      <c r="B445" t="s">
        <v>85</v>
      </c>
      <c r="C445" t="s">
        <v>233</v>
      </c>
      <c r="D445" t="s">
        <v>71</v>
      </c>
      <c r="E445" t="str" cm="1">
        <f t="array" ref="E445">_xlfn.XLOOKUP(D445,_xlfn.ANCHORARRAY('Item_ Master'!$A$2),'Item_ Master'!$B$2:$B$14,0,0)</f>
        <v>Household</v>
      </c>
      <c r="F445">
        <v>5</v>
      </c>
      <c r="G445" s="3">
        <v>504.51</v>
      </c>
      <c r="H445" t="s">
        <v>43</v>
      </c>
      <c r="I445" s="2">
        <f t="shared" si="6"/>
        <v>2522.5500000000002</v>
      </c>
    </row>
    <row r="446" spans="1:9" x14ac:dyDescent="0.2">
      <c r="A446" s="1">
        <v>45402</v>
      </c>
      <c r="B446" t="s">
        <v>221</v>
      </c>
      <c r="C446" t="s">
        <v>233</v>
      </c>
      <c r="D446" t="s">
        <v>52</v>
      </c>
      <c r="E446" t="str" cm="1">
        <f t="array" ref="E446">_xlfn.XLOOKUP(D446,_xlfn.ANCHORARRAY('Item_ Master'!$A$2),'Item_ Master'!$B$2:$B$14,0,0)</f>
        <v>Dairy</v>
      </c>
      <c r="F446">
        <v>4</v>
      </c>
      <c r="G446" s="3">
        <v>582.62</v>
      </c>
      <c r="H446" t="s">
        <v>20</v>
      </c>
      <c r="I446" s="2">
        <f t="shared" si="6"/>
        <v>2330.48</v>
      </c>
    </row>
    <row r="447" spans="1:9" x14ac:dyDescent="0.2">
      <c r="A447" s="1">
        <v>45445</v>
      </c>
      <c r="B447" t="s">
        <v>222</v>
      </c>
      <c r="C447" t="s">
        <v>233</v>
      </c>
      <c r="D447" t="s">
        <v>52</v>
      </c>
      <c r="E447" t="str" cm="1">
        <f t="array" ref="E447">_xlfn.XLOOKUP(D447,_xlfn.ANCHORARRAY('Item_ Master'!$A$2),'Item_ Master'!$B$2:$B$14,0,0)</f>
        <v>Dairy</v>
      </c>
      <c r="F447">
        <v>7</v>
      </c>
      <c r="G447" s="3">
        <v>520.03</v>
      </c>
      <c r="H447" t="s">
        <v>43</v>
      </c>
      <c r="I447" s="2">
        <f t="shared" si="6"/>
        <v>3640.21</v>
      </c>
    </row>
    <row r="448" spans="1:9" x14ac:dyDescent="0.2">
      <c r="A448" s="1">
        <v>45419</v>
      </c>
      <c r="B448" t="s">
        <v>223</v>
      </c>
      <c r="C448" t="s">
        <v>234</v>
      </c>
      <c r="D448" t="s">
        <v>52</v>
      </c>
      <c r="E448" t="str" cm="1">
        <f t="array" ref="E448">_xlfn.XLOOKUP(D448,_xlfn.ANCHORARRAY('Item_ Master'!$A$2),'Item_ Master'!$B$2:$B$14,0,0)</f>
        <v>Dairy</v>
      </c>
      <c r="F448">
        <v>3</v>
      </c>
      <c r="G448" s="3">
        <v>116.8</v>
      </c>
      <c r="H448" t="s">
        <v>12</v>
      </c>
      <c r="I448" s="2">
        <f t="shared" si="6"/>
        <v>350.4</v>
      </c>
    </row>
    <row r="449" spans="1:9" x14ac:dyDescent="0.2">
      <c r="A449" s="1">
        <v>45405</v>
      </c>
      <c r="B449" t="s">
        <v>158</v>
      </c>
      <c r="C449" t="s">
        <v>233</v>
      </c>
      <c r="D449" t="s">
        <v>25</v>
      </c>
      <c r="E449" t="str" cm="1">
        <f t="array" ref="E449">_xlfn.XLOOKUP(D449,_xlfn.ANCHORARRAY('Item_ Master'!$A$2),'Item_ Master'!$B$2:$B$14,0,0)</f>
        <v>Grocery</v>
      </c>
      <c r="F449">
        <v>6</v>
      </c>
      <c r="G449" s="3">
        <v>427.46</v>
      </c>
      <c r="H449" t="s">
        <v>43</v>
      </c>
      <c r="I449" s="2">
        <f t="shared" si="6"/>
        <v>2564.7599999999998</v>
      </c>
    </row>
    <row r="450" spans="1:9" x14ac:dyDescent="0.2">
      <c r="A450" s="1">
        <v>45592</v>
      </c>
      <c r="B450" t="s">
        <v>222</v>
      </c>
      <c r="C450" t="s">
        <v>231</v>
      </c>
      <c r="D450" t="s">
        <v>52</v>
      </c>
      <c r="E450" t="str" cm="1">
        <f t="array" ref="E450">_xlfn.XLOOKUP(D450,_xlfn.ANCHORARRAY('Item_ Master'!$A$2),'Item_ Master'!$B$2:$B$14,0,0)</f>
        <v>Dairy</v>
      </c>
      <c r="F450">
        <v>2</v>
      </c>
      <c r="G450" s="3">
        <v>158.76</v>
      </c>
      <c r="H450" t="s">
        <v>43</v>
      </c>
      <c r="I450" s="2">
        <f t="shared" si="6"/>
        <v>317.52</v>
      </c>
    </row>
    <row r="451" spans="1:9" x14ac:dyDescent="0.2">
      <c r="A451" s="1">
        <v>45357</v>
      </c>
      <c r="B451" t="s">
        <v>85</v>
      </c>
      <c r="C451" t="s">
        <v>235</v>
      </c>
      <c r="D451" t="s">
        <v>52</v>
      </c>
      <c r="E451" t="str" cm="1">
        <f t="array" ref="E451">_xlfn.XLOOKUP(D451,_xlfn.ANCHORARRAY('Item_ Master'!$A$2),'Item_ Master'!$B$2:$B$14,0,0)</f>
        <v>Dairy</v>
      </c>
      <c r="F451">
        <v>1</v>
      </c>
      <c r="G451" s="3">
        <v>568.25</v>
      </c>
      <c r="H451" t="s">
        <v>12</v>
      </c>
      <c r="I451" s="2">
        <f t="shared" ref="I451:I501" si="7">F451*G451</f>
        <v>568.25</v>
      </c>
    </row>
    <row r="452" spans="1:9" x14ac:dyDescent="0.2">
      <c r="A452" s="1">
        <v>45585</v>
      </c>
      <c r="B452" t="s">
        <v>95</v>
      </c>
      <c r="C452" t="s">
        <v>234</v>
      </c>
      <c r="D452" t="s">
        <v>62</v>
      </c>
      <c r="E452" t="str" cm="1">
        <f t="array" ref="E452">_xlfn.XLOOKUP(D452,_xlfn.ANCHORARRAY('Item_ Master'!$A$2),'Item_ Master'!$B$2:$B$14,0,0)</f>
        <v>Produce</v>
      </c>
      <c r="F452">
        <v>1</v>
      </c>
      <c r="G452" s="3">
        <v>260.5</v>
      </c>
      <c r="H452" t="s">
        <v>20</v>
      </c>
      <c r="I452" s="2">
        <f t="shared" si="7"/>
        <v>260.5</v>
      </c>
    </row>
    <row r="453" spans="1:9" x14ac:dyDescent="0.2">
      <c r="A453" s="1">
        <v>45401</v>
      </c>
      <c r="B453" t="s">
        <v>224</v>
      </c>
      <c r="C453" t="s">
        <v>235</v>
      </c>
      <c r="D453" t="s">
        <v>40</v>
      </c>
      <c r="E453" t="str" cm="1">
        <f t="array" ref="E453">_xlfn.XLOOKUP(D453,_xlfn.ANCHORARRAY('Item_ Master'!$A$2),'Item_ Master'!$B$2:$B$14,0,0)</f>
        <v>Household</v>
      </c>
      <c r="F453">
        <v>8</v>
      </c>
      <c r="G453" s="3">
        <v>535.88</v>
      </c>
      <c r="H453" t="s">
        <v>12</v>
      </c>
      <c r="I453" s="2">
        <f t="shared" si="7"/>
        <v>4287.04</v>
      </c>
    </row>
    <row r="454" spans="1:9" x14ac:dyDescent="0.2">
      <c r="A454" s="1">
        <v>45607</v>
      </c>
      <c r="B454" t="s">
        <v>98</v>
      </c>
      <c r="C454" t="s">
        <v>235</v>
      </c>
      <c r="D454" t="s">
        <v>62</v>
      </c>
      <c r="E454" t="str" cm="1">
        <f t="array" ref="E454">_xlfn.XLOOKUP(D454,_xlfn.ANCHORARRAY('Item_ Master'!$A$2),'Item_ Master'!$B$2:$B$14,0,0)</f>
        <v>Produce</v>
      </c>
      <c r="F454">
        <v>7</v>
      </c>
      <c r="G454" s="3">
        <v>535.53</v>
      </c>
      <c r="H454" t="s">
        <v>20</v>
      </c>
      <c r="I454" s="2">
        <f t="shared" si="7"/>
        <v>3748.71</v>
      </c>
    </row>
    <row r="455" spans="1:9" x14ac:dyDescent="0.2">
      <c r="A455" s="1">
        <v>45435</v>
      </c>
      <c r="B455" t="s">
        <v>225</v>
      </c>
      <c r="C455" t="s">
        <v>233</v>
      </c>
      <c r="D455" t="s">
        <v>25</v>
      </c>
      <c r="E455" t="str" cm="1">
        <f t="array" ref="E455">_xlfn.XLOOKUP(D455,_xlfn.ANCHORARRAY('Item_ Master'!$A$2),'Item_ Master'!$B$2:$B$14,0,0)</f>
        <v>Grocery</v>
      </c>
      <c r="F455">
        <v>4</v>
      </c>
      <c r="G455" s="3">
        <v>403.46</v>
      </c>
      <c r="H455" t="s">
        <v>43</v>
      </c>
      <c r="I455" s="2">
        <f t="shared" si="7"/>
        <v>1613.84</v>
      </c>
    </row>
    <row r="456" spans="1:9" x14ac:dyDescent="0.2">
      <c r="A456" s="1">
        <v>45570</v>
      </c>
      <c r="B456" t="s">
        <v>192</v>
      </c>
      <c r="C456" t="s">
        <v>234</v>
      </c>
      <c r="D456" t="s">
        <v>23</v>
      </c>
      <c r="E456" t="str" cm="1">
        <f t="array" ref="E456">_xlfn.XLOOKUP(D456,_xlfn.ANCHORARRAY('Item_ Master'!$A$2),'Item_ Master'!$B$2:$B$14,0,0)</f>
        <v>Produce</v>
      </c>
      <c r="F456">
        <v>6</v>
      </c>
      <c r="G456" s="3">
        <v>313.83</v>
      </c>
      <c r="H456" t="s">
        <v>20</v>
      </c>
      <c r="I456" s="2">
        <f t="shared" si="7"/>
        <v>1882.98</v>
      </c>
    </row>
    <row r="457" spans="1:9" x14ac:dyDescent="0.2">
      <c r="A457" s="1">
        <v>45581</v>
      </c>
      <c r="B457" t="s">
        <v>55</v>
      </c>
      <c r="C457" t="s">
        <v>235</v>
      </c>
      <c r="D457" t="s">
        <v>25</v>
      </c>
      <c r="E457" t="str" cm="1">
        <f t="array" ref="E457">_xlfn.XLOOKUP(D457,_xlfn.ANCHORARRAY('Item_ Master'!$A$2),'Item_ Master'!$B$2:$B$14,0,0)</f>
        <v>Grocery</v>
      </c>
      <c r="F457">
        <v>5</v>
      </c>
      <c r="G457" s="3">
        <v>148.9</v>
      </c>
      <c r="H457" t="s">
        <v>20</v>
      </c>
      <c r="I457" s="2">
        <f t="shared" si="7"/>
        <v>744.5</v>
      </c>
    </row>
    <row r="458" spans="1:9" x14ac:dyDescent="0.2">
      <c r="A458" s="1">
        <v>45307</v>
      </c>
      <c r="B458" t="s">
        <v>100</v>
      </c>
      <c r="C458" t="s">
        <v>235</v>
      </c>
      <c r="D458" t="s">
        <v>52</v>
      </c>
      <c r="E458" t="str" cm="1">
        <f t="array" ref="E458">_xlfn.XLOOKUP(D458,_xlfn.ANCHORARRAY('Item_ Master'!$A$2),'Item_ Master'!$B$2:$B$14,0,0)</f>
        <v>Dairy</v>
      </c>
      <c r="F458">
        <v>8</v>
      </c>
      <c r="G458" s="3">
        <v>341.19</v>
      </c>
      <c r="H458" t="s">
        <v>43</v>
      </c>
      <c r="I458" s="2">
        <f t="shared" si="7"/>
        <v>2729.52</v>
      </c>
    </row>
    <row r="459" spans="1:9" x14ac:dyDescent="0.2">
      <c r="A459" s="1">
        <v>45373</v>
      </c>
      <c r="B459" t="s">
        <v>70</v>
      </c>
      <c r="C459" t="s">
        <v>233</v>
      </c>
      <c r="D459" t="s">
        <v>71</v>
      </c>
      <c r="E459" t="str" cm="1">
        <f t="array" ref="E459">_xlfn.XLOOKUP(D459,_xlfn.ANCHORARRAY('Item_ Master'!$A$2),'Item_ Master'!$B$2:$B$14,0,0)</f>
        <v>Household</v>
      </c>
      <c r="F459">
        <v>4</v>
      </c>
      <c r="G459" s="3">
        <v>196.59</v>
      </c>
      <c r="H459" t="s">
        <v>43</v>
      </c>
      <c r="I459" s="2">
        <f t="shared" si="7"/>
        <v>786.36</v>
      </c>
    </row>
    <row r="460" spans="1:9" x14ac:dyDescent="0.2">
      <c r="A460" s="1">
        <v>45404</v>
      </c>
      <c r="B460" t="s">
        <v>226</v>
      </c>
      <c r="C460" t="s">
        <v>234</v>
      </c>
      <c r="D460" t="s">
        <v>59</v>
      </c>
      <c r="E460" t="str" cm="1">
        <f t="array" ref="E460">_xlfn.XLOOKUP(D460,_xlfn.ANCHORARRAY('Item_ Master'!$A$2),'Item_ Master'!$B$2:$B$14,0,0)</f>
        <v>Produce</v>
      </c>
      <c r="F460">
        <v>3</v>
      </c>
      <c r="G460" s="3">
        <v>146.86000000000001</v>
      </c>
      <c r="H460" t="s">
        <v>43</v>
      </c>
      <c r="I460" s="2">
        <f t="shared" si="7"/>
        <v>440.58000000000004</v>
      </c>
    </row>
    <row r="461" spans="1:9" x14ac:dyDescent="0.2">
      <c r="A461" s="1">
        <v>45475</v>
      </c>
      <c r="B461" t="s">
        <v>191</v>
      </c>
      <c r="C461" t="s">
        <v>231</v>
      </c>
      <c r="D461" t="s">
        <v>23</v>
      </c>
      <c r="E461" t="str" cm="1">
        <f t="array" ref="E461">_xlfn.XLOOKUP(D461,_xlfn.ANCHORARRAY('Item_ Master'!$A$2),'Item_ Master'!$B$2:$B$14,0,0)</f>
        <v>Produce</v>
      </c>
      <c r="F461">
        <v>6</v>
      </c>
      <c r="G461" s="3">
        <v>571.16</v>
      </c>
      <c r="H461" t="s">
        <v>43</v>
      </c>
      <c r="I461" s="2">
        <f t="shared" si="7"/>
        <v>3426.96</v>
      </c>
    </row>
    <row r="462" spans="1:9" x14ac:dyDescent="0.2">
      <c r="A462" s="1">
        <v>45388</v>
      </c>
      <c r="B462" t="s">
        <v>99</v>
      </c>
      <c r="C462" t="s">
        <v>232</v>
      </c>
      <c r="D462" t="s">
        <v>40</v>
      </c>
      <c r="E462" t="str" cm="1">
        <f t="array" ref="E462">_xlfn.XLOOKUP(D462,_xlfn.ANCHORARRAY('Item_ Master'!$A$2),'Item_ Master'!$B$2:$B$14,0,0)</f>
        <v>Household</v>
      </c>
      <c r="F462">
        <v>3</v>
      </c>
      <c r="G462" s="3">
        <v>319.74</v>
      </c>
      <c r="H462" t="s">
        <v>12</v>
      </c>
      <c r="I462" s="2">
        <f t="shared" si="7"/>
        <v>959.22</v>
      </c>
    </row>
    <row r="463" spans="1:9" x14ac:dyDescent="0.2">
      <c r="A463" s="1">
        <v>45600</v>
      </c>
      <c r="B463" t="s">
        <v>154</v>
      </c>
      <c r="C463" t="s">
        <v>231</v>
      </c>
      <c r="D463" t="s">
        <v>251</v>
      </c>
      <c r="E463" t="str" cm="1">
        <f t="array" ref="E463">_xlfn.XLOOKUP(D463,_xlfn.ANCHORARRAY('Item_ Master'!$A$2),'Item_ Master'!$B$2:$B$14,0,0)</f>
        <v>Household</v>
      </c>
      <c r="F463">
        <v>8</v>
      </c>
      <c r="G463" s="3">
        <v>50.38</v>
      </c>
      <c r="H463" t="s">
        <v>43</v>
      </c>
      <c r="I463" s="2">
        <f t="shared" si="7"/>
        <v>403.04</v>
      </c>
    </row>
    <row r="464" spans="1:9" x14ac:dyDescent="0.2">
      <c r="A464" s="1">
        <v>45358</v>
      </c>
      <c r="B464" t="s">
        <v>53</v>
      </c>
      <c r="C464" t="s">
        <v>233</v>
      </c>
      <c r="D464" t="s">
        <v>59</v>
      </c>
      <c r="E464" t="str" cm="1">
        <f t="array" ref="E464">_xlfn.XLOOKUP(D464,_xlfn.ANCHORARRAY('Item_ Master'!$A$2),'Item_ Master'!$B$2:$B$14,0,0)</f>
        <v>Produce</v>
      </c>
      <c r="F464">
        <v>1</v>
      </c>
      <c r="G464" s="3">
        <v>62.05</v>
      </c>
      <c r="H464" t="s">
        <v>43</v>
      </c>
      <c r="I464" s="2">
        <f t="shared" si="7"/>
        <v>62.05</v>
      </c>
    </row>
    <row r="465" spans="1:9" x14ac:dyDescent="0.2">
      <c r="A465" s="1">
        <v>45364</v>
      </c>
      <c r="B465" t="s">
        <v>170</v>
      </c>
      <c r="C465" t="s">
        <v>231</v>
      </c>
      <c r="D465" t="s">
        <v>251</v>
      </c>
      <c r="E465" t="str" cm="1">
        <f t="array" ref="E465">_xlfn.XLOOKUP(D465,_xlfn.ANCHORARRAY('Item_ Master'!$A$2),'Item_ Master'!$B$2:$B$14,0,0)</f>
        <v>Household</v>
      </c>
      <c r="F465">
        <v>6</v>
      </c>
      <c r="G465" s="3">
        <v>578.30999999999995</v>
      </c>
      <c r="H465" t="s">
        <v>20</v>
      </c>
      <c r="I465" s="2">
        <f t="shared" si="7"/>
        <v>3469.8599999999997</v>
      </c>
    </row>
    <row r="466" spans="1:9" x14ac:dyDescent="0.2">
      <c r="A466" s="1">
        <v>45494</v>
      </c>
      <c r="B466" t="s">
        <v>132</v>
      </c>
      <c r="C466" t="s">
        <v>231</v>
      </c>
      <c r="D466" t="s">
        <v>59</v>
      </c>
      <c r="E466" t="str" cm="1">
        <f t="array" ref="E466">_xlfn.XLOOKUP(D466,_xlfn.ANCHORARRAY('Item_ Master'!$A$2),'Item_ Master'!$B$2:$B$14,0,0)</f>
        <v>Produce</v>
      </c>
      <c r="F466">
        <v>5</v>
      </c>
      <c r="G466" s="3">
        <v>227.43</v>
      </c>
      <c r="H466" t="s">
        <v>12</v>
      </c>
      <c r="I466" s="2">
        <f t="shared" si="7"/>
        <v>1137.1500000000001</v>
      </c>
    </row>
    <row r="467" spans="1:9" x14ac:dyDescent="0.2">
      <c r="A467" s="1">
        <v>45515</v>
      </c>
      <c r="B467" t="s">
        <v>227</v>
      </c>
      <c r="C467" t="s">
        <v>234</v>
      </c>
      <c r="D467" t="s">
        <v>71</v>
      </c>
      <c r="E467" t="str" cm="1">
        <f t="array" ref="E467">_xlfn.XLOOKUP(D467,_xlfn.ANCHORARRAY('Item_ Master'!$A$2),'Item_ Master'!$B$2:$B$14,0,0)</f>
        <v>Household</v>
      </c>
      <c r="F467">
        <v>6</v>
      </c>
      <c r="G467" s="3">
        <v>145.81</v>
      </c>
      <c r="H467" t="s">
        <v>43</v>
      </c>
      <c r="I467" s="2">
        <f t="shared" si="7"/>
        <v>874.86</v>
      </c>
    </row>
    <row r="468" spans="1:9" x14ac:dyDescent="0.2">
      <c r="A468" s="1">
        <v>45606</v>
      </c>
      <c r="B468" t="s">
        <v>228</v>
      </c>
      <c r="C468" t="s">
        <v>233</v>
      </c>
      <c r="D468" t="s">
        <v>71</v>
      </c>
      <c r="E468" t="str" cm="1">
        <f t="array" ref="E468">_xlfn.XLOOKUP(D468,_xlfn.ANCHORARRAY('Item_ Master'!$A$2),'Item_ Master'!$B$2:$B$14,0,0)</f>
        <v>Household</v>
      </c>
      <c r="F468">
        <v>10</v>
      </c>
      <c r="G468" s="3">
        <v>497.95</v>
      </c>
      <c r="H468" t="s">
        <v>20</v>
      </c>
      <c r="I468" s="2">
        <f t="shared" si="7"/>
        <v>4979.5</v>
      </c>
    </row>
    <row r="469" spans="1:9" x14ac:dyDescent="0.2">
      <c r="A469" s="1">
        <v>45442</v>
      </c>
      <c r="B469" t="s">
        <v>159</v>
      </c>
      <c r="C469" t="s">
        <v>233</v>
      </c>
      <c r="D469" t="s">
        <v>10</v>
      </c>
      <c r="E469" t="str" cm="1">
        <f t="array" ref="E469">_xlfn.XLOOKUP(D469,_xlfn.ANCHORARRAY('Item_ Master'!$A$2),'Item_ Master'!$B$2:$B$14,0,0)</f>
        <v>Produce</v>
      </c>
      <c r="F469">
        <v>1</v>
      </c>
      <c r="G469" s="3">
        <v>571.83000000000004</v>
      </c>
      <c r="H469" t="s">
        <v>43</v>
      </c>
      <c r="I469" s="2">
        <f t="shared" si="7"/>
        <v>571.83000000000004</v>
      </c>
    </row>
    <row r="470" spans="1:9" x14ac:dyDescent="0.2">
      <c r="A470" s="1">
        <v>45582</v>
      </c>
      <c r="B470" t="s">
        <v>129</v>
      </c>
      <c r="C470" t="s">
        <v>233</v>
      </c>
      <c r="D470" t="s">
        <v>49</v>
      </c>
      <c r="E470" t="str" cm="1">
        <f t="array" ref="E470">_xlfn.XLOOKUP(D470,_xlfn.ANCHORARRAY('Item_ Master'!$A$2),'Item_ Master'!$B$2:$B$14,0,0)</f>
        <v>Personal Care</v>
      </c>
      <c r="F470">
        <v>6</v>
      </c>
      <c r="G470" s="3">
        <v>556.57000000000005</v>
      </c>
      <c r="H470" t="s">
        <v>43</v>
      </c>
      <c r="I470" s="2">
        <f t="shared" si="7"/>
        <v>3339.42</v>
      </c>
    </row>
    <row r="471" spans="1:9" x14ac:dyDescent="0.2">
      <c r="A471" s="1">
        <v>45581</v>
      </c>
      <c r="B471" t="s">
        <v>24</v>
      </c>
      <c r="C471" t="s">
        <v>234</v>
      </c>
      <c r="D471" t="s">
        <v>57</v>
      </c>
      <c r="E471" t="str" cm="1">
        <f t="array" ref="E471">_xlfn.XLOOKUP(D471,_xlfn.ANCHORARRAY('Item_ Master'!$A$2),'Item_ Master'!$B$2:$B$14,0,0)</f>
        <v>Bakery</v>
      </c>
      <c r="F471">
        <v>6</v>
      </c>
      <c r="G471" s="3">
        <v>459.94</v>
      </c>
      <c r="H471" t="s">
        <v>12</v>
      </c>
      <c r="I471" s="2">
        <f t="shared" si="7"/>
        <v>2759.64</v>
      </c>
    </row>
    <row r="472" spans="1:9" x14ac:dyDescent="0.2">
      <c r="A472" s="1">
        <v>45455</v>
      </c>
      <c r="B472" t="s">
        <v>72</v>
      </c>
      <c r="C472" t="s">
        <v>231</v>
      </c>
      <c r="D472" t="s">
        <v>23</v>
      </c>
      <c r="E472" t="str" cm="1">
        <f t="array" ref="E472">_xlfn.XLOOKUP(D472,_xlfn.ANCHORARRAY('Item_ Master'!$A$2),'Item_ Master'!$B$2:$B$14,0,0)</f>
        <v>Produce</v>
      </c>
      <c r="F472">
        <v>6</v>
      </c>
      <c r="G472" s="3">
        <v>295.64999999999998</v>
      </c>
      <c r="H472" t="s">
        <v>20</v>
      </c>
      <c r="I472" s="2">
        <f t="shared" si="7"/>
        <v>1773.8999999999999</v>
      </c>
    </row>
    <row r="473" spans="1:9" x14ac:dyDescent="0.2">
      <c r="A473" s="1">
        <v>45326</v>
      </c>
      <c r="B473" t="s">
        <v>134</v>
      </c>
      <c r="C473" t="s">
        <v>235</v>
      </c>
      <c r="D473" t="s">
        <v>52</v>
      </c>
      <c r="E473" t="str" cm="1">
        <f t="array" ref="E473">_xlfn.XLOOKUP(D473,_xlfn.ANCHORARRAY('Item_ Master'!$A$2),'Item_ Master'!$B$2:$B$14,0,0)</f>
        <v>Dairy</v>
      </c>
      <c r="F473">
        <v>1</v>
      </c>
      <c r="G473" s="3">
        <v>76.48</v>
      </c>
      <c r="H473" t="s">
        <v>20</v>
      </c>
      <c r="I473" s="2">
        <f t="shared" si="7"/>
        <v>76.48</v>
      </c>
    </row>
    <row r="474" spans="1:9" x14ac:dyDescent="0.2">
      <c r="A474" s="1">
        <v>45377</v>
      </c>
      <c r="B474" t="s">
        <v>67</v>
      </c>
      <c r="C474" t="s">
        <v>234</v>
      </c>
      <c r="D474" t="s">
        <v>25</v>
      </c>
      <c r="E474" t="str" cm="1">
        <f t="array" ref="E474">_xlfn.XLOOKUP(D474,_xlfn.ANCHORARRAY('Item_ Master'!$A$2),'Item_ Master'!$B$2:$B$14,0,0)</f>
        <v>Grocery</v>
      </c>
      <c r="F474">
        <v>6</v>
      </c>
      <c r="G474" s="3">
        <v>350.31</v>
      </c>
      <c r="H474" t="s">
        <v>12</v>
      </c>
      <c r="I474" s="2">
        <f t="shared" si="7"/>
        <v>2101.86</v>
      </c>
    </row>
    <row r="475" spans="1:9" x14ac:dyDescent="0.2">
      <c r="A475" s="1">
        <v>45587</v>
      </c>
      <c r="B475" t="s">
        <v>117</v>
      </c>
      <c r="C475" t="s">
        <v>233</v>
      </c>
      <c r="D475" t="s">
        <v>57</v>
      </c>
      <c r="E475" t="str" cm="1">
        <f t="array" ref="E475">_xlfn.XLOOKUP(D475,_xlfn.ANCHORARRAY('Item_ Master'!$A$2),'Item_ Master'!$B$2:$B$14,0,0)</f>
        <v>Bakery</v>
      </c>
      <c r="F475">
        <v>8</v>
      </c>
      <c r="G475" s="3">
        <v>90.54</v>
      </c>
      <c r="H475" t="s">
        <v>12</v>
      </c>
      <c r="I475" s="2">
        <f t="shared" si="7"/>
        <v>724.32</v>
      </c>
    </row>
    <row r="476" spans="1:9" x14ac:dyDescent="0.2">
      <c r="A476" s="1">
        <v>45455</v>
      </c>
      <c r="B476" t="s">
        <v>222</v>
      </c>
      <c r="C476" t="s">
        <v>231</v>
      </c>
      <c r="D476" t="s">
        <v>52</v>
      </c>
      <c r="E476" t="str" cm="1">
        <f t="array" ref="E476">_xlfn.XLOOKUP(D476,_xlfn.ANCHORARRAY('Item_ Master'!$A$2),'Item_ Master'!$B$2:$B$14,0,0)</f>
        <v>Dairy</v>
      </c>
      <c r="F476">
        <v>6</v>
      </c>
      <c r="G476" s="3">
        <v>143.56</v>
      </c>
      <c r="H476" t="s">
        <v>20</v>
      </c>
      <c r="I476" s="2">
        <f t="shared" si="7"/>
        <v>861.36</v>
      </c>
    </row>
    <row r="477" spans="1:9" x14ac:dyDescent="0.2">
      <c r="A477" s="1">
        <v>45330</v>
      </c>
      <c r="B477" t="s">
        <v>204</v>
      </c>
      <c r="C477" t="s">
        <v>231</v>
      </c>
      <c r="D477" t="s">
        <v>59</v>
      </c>
      <c r="E477" t="str" cm="1">
        <f t="array" ref="E477">_xlfn.XLOOKUP(D477,_xlfn.ANCHORARRAY('Item_ Master'!$A$2),'Item_ Master'!$B$2:$B$14,0,0)</f>
        <v>Produce</v>
      </c>
      <c r="F477">
        <v>10</v>
      </c>
      <c r="G477" s="3">
        <v>591.9</v>
      </c>
      <c r="H477" t="s">
        <v>20</v>
      </c>
      <c r="I477" s="2">
        <f t="shared" si="7"/>
        <v>5919</v>
      </c>
    </row>
    <row r="478" spans="1:9" x14ac:dyDescent="0.2">
      <c r="A478" s="1">
        <v>45512</v>
      </c>
      <c r="B478" t="s">
        <v>163</v>
      </c>
      <c r="C478" t="s">
        <v>233</v>
      </c>
      <c r="D478" t="s">
        <v>49</v>
      </c>
      <c r="E478" t="str" cm="1">
        <f t="array" ref="E478">_xlfn.XLOOKUP(D478,_xlfn.ANCHORARRAY('Item_ Master'!$A$2),'Item_ Master'!$B$2:$B$14,0,0)</f>
        <v>Personal Care</v>
      </c>
      <c r="F478">
        <v>7</v>
      </c>
      <c r="G478" s="3">
        <v>136.41</v>
      </c>
      <c r="H478" t="s">
        <v>12</v>
      </c>
      <c r="I478" s="2">
        <f t="shared" si="7"/>
        <v>954.87</v>
      </c>
    </row>
    <row r="479" spans="1:9" x14ac:dyDescent="0.2">
      <c r="A479" s="1">
        <v>45389</v>
      </c>
      <c r="B479" t="s">
        <v>87</v>
      </c>
      <c r="C479" t="s">
        <v>232</v>
      </c>
      <c r="D479" t="s">
        <v>10</v>
      </c>
      <c r="E479" t="str" cm="1">
        <f t="array" ref="E479">_xlfn.XLOOKUP(D479,_xlfn.ANCHORARRAY('Item_ Master'!$A$2),'Item_ Master'!$B$2:$B$14,0,0)</f>
        <v>Produce</v>
      </c>
      <c r="F479">
        <v>9</v>
      </c>
      <c r="G479" s="3">
        <v>195.9</v>
      </c>
      <c r="H479" t="s">
        <v>20</v>
      </c>
      <c r="I479" s="2">
        <f t="shared" si="7"/>
        <v>1763.1000000000001</v>
      </c>
    </row>
    <row r="480" spans="1:9" x14ac:dyDescent="0.2">
      <c r="A480" s="1">
        <v>45341</v>
      </c>
      <c r="B480" t="s">
        <v>171</v>
      </c>
      <c r="C480" t="s">
        <v>234</v>
      </c>
      <c r="D480" t="s">
        <v>78</v>
      </c>
      <c r="E480" t="str" cm="1">
        <f t="array" ref="E480">_xlfn.XLOOKUP(D480,_xlfn.ANCHORARRAY('Item_ Master'!$A$2),'Item_ Master'!$B$2:$B$14,0,0)</f>
        <v>Personal Care</v>
      </c>
      <c r="F480">
        <v>9</v>
      </c>
      <c r="G480" s="3">
        <v>511.92</v>
      </c>
      <c r="H480" t="s">
        <v>12</v>
      </c>
      <c r="I480" s="2">
        <f t="shared" si="7"/>
        <v>4607.28</v>
      </c>
    </row>
    <row r="481" spans="1:9" x14ac:dyDescent="0.2">
      <c r="A481" s="1">
        <v>45293</v>
      </c>
      <c r="B481" t="s">
        <v>229</v>
      </c>
      <c r="C481" t="s">
        <v>231</v>
      </c>
      <c r="D481" t="s">
        <v>40</v>
      </c>
      <c r="E481" t="str" cm="1">
        <f t="array" ref="E481">_xlfn.XLOOKUP(D481,_xlfn.ANCHORARRAY('Item_ Master'!$A$2),'Item_ Master'!$B$2:$B$14,0,0)</f>
        <v>Household</v>
      </c>
      <c r="F481">
        <v>10</v>
      </c>
      <c r="G481" s="3">
        <v>314.18</v>
      </c>
      <c r="H481" t="s">
        <v>12</v>
      </c>
      <c r="I481" s="2">
        <f t="shared" si="7"/>
        <v>3141.8</v>
      </c>
    </row>
    <row r="482" spans="1:9" x14ac:dyDescent="0.2">
      <c r="A482" s="1">
        <v>45379</v>
      </c>
      <c r="B482" t="s">
        <v>227</v>
      </c>
      <c r="C482" t="s">
        <v>235</v>
      </c>
      <c r="D482" t="s">
        <v>52</v>
      </c>
      <c r="E482" t="str" cm="1">
        <f t="array" ref="E482">_xlfn.XLOOKUP(D482,_xlfn.ANCHORARRAY('Item_ Master'!$A$2),'Item_ Master'!$B$2:$B$14,0,0)</f>
        <v>Dairy</v>
      </c>
      <c r="F482">
        <v>8</v>
      </c>
      <c r="G482" s="3">
        <v>514.07000000000005</v>
      </c>
      <c r="H482" t="s">
        <v>20</v>
      </c>
      <c r="I482" s="2">
        <f t="shared" si="7"/>
        <v>4112.5600000000004</v>
      </c>
    </row>
    <row r="483" spans="1:9" x14ac:dyDescent="0.2">
      <c r="A483" s="1">
        <v>45533</v>
      </c>
      <c r="B483" t="s">
        <v>230</v>
      </c>
      <c r="C483" t="s">
        <v>235</v>
      </c>
      <c r="D483" t="s">
        <v>52</v>
      </c>
      <c r="E483" t="str" cm="1">
        <f t="array" ref="E483">_xlfn.XLOOKUP(D483,_xlfn.ANCHORARRAY('Item_ Master'!$A$2),'Item_ Master'!$B$2:$B$14,0,0)</f>
        <v>Dairy</v>
      </c>
      <c r="F483">
        <v>9</v>
      </c>
      <c r="G483" s="3">
        <v>263.14</v>
      </c>
      <c r="H483" t="s">
        <v>20</v>
      </c>
      <c r="I483" s="2">
        <f t="shared" si="7"/>
        <v>2368.2599999999998</v>
      </c>
    </row>
    <row r="484" spans="1:9" x14ac:dyDescent="0.2">
      <c r="A484" s="1">
        <v>45481</v>
      </c>
      <c r="B484" t="s">
        <v>224</v>
      </c>
      <c r="C484" t="s">
        <v>234</v>
      </c>
      <c r="D484" t="s">
        <v>52</v>
      </c>
      <c r="E484" t="str" cm="1">
        <f t="array" ref="E484">_xlfn.XLOOKUP(D484,_xlfn.ANCHORARRAY('Item_ Master'!$A$2),'Item_ Master'!$B$2:$B$14,0,0)</f>
        <v>Dairy</v>
      </c>
      <c r="F484">
        <v>5</v>
      </c>
      <c r="G484" s="3">
        <v>291.86</v>
      </c>
      <c r="H484" t="s">
        <v>20</v>
      </c>
      <c r="I484" s="2">
        <f t="shared" si="7"/>
        <v>1459.3000000000002</v>
      </c>
    </row>
    <row r="485" spans="1:9" x14ac:dyDescent="0.2">
      <c r="A485" s="1">
        <v>45429</v>
      </c>
      <c r="B485" t="s">
        <v>113</v>
      </c>
      <c r="C485" t="s">
        <v>231</v>
      </c>
      <c r="D485" t="s">
        <v>57</v>
      </c>
      <c r="E485" t="str" cm="1">
        <f t="array" ref="E485">_xlfn.XLOOKUP(D485,_xlfn.ANCHORARRAY('Item_ Master'!$A$2),'Item_ Master'!$B$2:$B$14,0,0)</f>
        <v>Bakery</v>
      </c>
      <c r="F485">
        <v>2</v>
      </c>
      <c r="G485" s="3">
        <v>97.14</v>
      </c>
      <c r="H485" t="s">
        <v>20</v>
      </c>
      <c r="I485" s="2">
        <f t="shared" si="7"/>
        <v>194.28</v>
      </c>
    </row>
    <row r="486" spans="1:9" x14ac:dyDescent="0.2">
      <c r="A486" s="1">
        <v>45503</v>
      </c>
      <c r="B486" t="s">
        <v>197</v>
      </c>
      <c r="C486" t="s">
        <v>232</v>
      </c>
      <c r="D486" t="s">
        <v>40</v>
      </c>
      <c r="E486" t="str" cm="1">
        <f t="array" ref="E486">_xlfn.XLOOKUP(D486,_xlfn.ANCHORARRAY('Item_ Master'!$A$2),'Item_ Master'!$B$2:$B$14,0,0)</f>
        <v>Household</v>
      </c>
      <c r="F486">
        <v>9</v>
      </c>
      <c r="G486" s="3">
        <v>83.54</v>
      </c>
      <c r="H486" t="s">
        <v>20</v>
      </c>
      <c r="I486" s="2">
        <f t="shared" si="7"/>
        <v>751.86</v>
      </c>
    </row>
    <row r="487" spans="1:9" x14ac:dyDescent="0.2">
      <c r="A487" s="1">
        <v>45506</v>
      </c>
      <c r="B487" t="s">
        <v>45</v>
      </c>
      <c r="C487" t="s">
        <v>234</v>
      </c>
      <c r="D487" t="s">
        <v>78</v>
      </c>
      <c r="E487" t="str" cm="1">
        <f t="array" ref="E487">_xlfn.XLOOKUP(D487,_xlfn.ANCHORARRAY('Item_ Master'!$A$2),'Item_ Master'!$B$2:$B$14,0,0)</f>
        <v>Personal Care</v>
      </c>
      <c r="F487">
        <v>4</v>
      </c>
      <c r="G487" s="3">
        <v>311.94</v>
      </c>
      <c r="H487" t="s">
        <v>12</v>
      </c>
      <c r="I487" s="2">
        <f t="shared" si="7"/>
        <v>1247.76</v>
      </c>
    </row>
    <row r="488" spans="1:9" x14ac:dyDescent="0.2">
      <c r="A488" s="1">
        <v>45309</v>
      </c>
      <c r="B488" t="s">
        <v>55</v>
      </c>
      <c r="C488" t="s">
        <v>232</v>
      </c>
      <c r="D488" t="s">
        <v>251</v>
      </c>
      <c r="E488" t="str" cm="1">
        <f t="array" ref="E488">_xlfn.XLOOKUP(D488,_xlfn.ANCHORARRAY('Item_ Master'!$A$2),'Item_ Master'!$B$2:$B$14,0,0)</f>
        <v>Household</v>
      </c>
      <c r="F488">
        <v>10</v>
      </c>
      <c r="G488" s="3">
        <v>422.64</v>
      </c>
      <c r="H488" t="s">
        <v>43</v>
      </c>
      <c r="I488" s="2">
        <f t="shared" si="7"/>
        <v>4226.3999999999996</v>
      </c>
    </row>
    <row r="489" spans="1:9" x14ac:dyDescent="0.2">
      <c r="A489" s="1">
        <v>45521</v>
      </c>
      <c r="B489" t="s">
        <v>187</v>
      </c>
      <c r="C489" t="s">
        <v>233</v>
      </c>
      <c r="D489" t="s">
        <v>57</v>
      </c>
      <c r="E489" t="str" cm="1">
        <f t="array" ref="E489">_xlfn.XLOOKUP(D489,_xlfn.ANCHORARRAY('Item_ Master'!$A$2),'Item_ Master'!$B$2:$B$14,0,0)</f>
        <v>Bakery</v>
      </c>
      <c r="F489">
        <v>4</v>
      </c>
      <c r="G489" s="3">
        <v>119.4</v>
      </c>
      <c r="H489" t="s">
        <v>20</v>
      </c>
      <c r="I489" s="2">
        <f t="shared" si="7"/>
        <v>477.6</v>
      </c>
    </row>
    <row r="490" spans="1:9" x14ac:dyDescent="0.2">
      <c r="A490" s="1">
        <v>45514</v>
      </c>
      <c r="B490" t="s">
        <v>90</v>
      </c>
      <c r="C490" t="s">
        <v>233</v>
      </c>
      <c r="D490" t="s">
        <v>49</v>
      </c>
      <c r="E490" t="str" cm="1">
        <f t="array" ref="E490">_xlfn.XLOOKUP(D490,_xlfn.ANCHORARRAY('Item_ Master'!$A$2),'Item_ Master'!$B$2:$B$14,0,0)</f>
        <v>Personal Care</v>
      </c>
      <c r="F490">
        <v>5</v>
      </c>
      <c r="G490" s="3">
        <v>225.86</v>
      </c>
      <c r="H490" t="s">
        <v>43</v>
      </c>
      <c r="I490" s="2">
        <f t="shared" si="7"/>
        <v>1129.3000000000002</v>
      </c>
    </row>
    <row r="491" spans="1:9" x14ac:dyDescent="0.2">
      <c r="A491" s="1">
        <v>45326</v>
      </c>
      <c r="B491" t="s">
        <v>13</v>
      </c>
      <c r="C491" t="s">
        <v>234</v>
      </c>
      <c r="D491" t="s">
        <v>28</v>
      </c>
      <c r="E491" t="str" cm="1">
        <f t="array" ref="E491">_xlfn.XLOOKUP(D491,_xlfn.ANCHORARRAY('Item_ Master'!$A$2),'Item_ Master'!$B$2:$B$14,0,0)</f>
        <v>Household</v>
      </c>
      <c r="F491">
        <v>7</v>
      </c>
      <c r="G491" s="3">
        <v>353.63</v>
      </c>
      <c r="H491" t="s">
        <v>20</v>
      </c>
      <c r="I491" s="2">
        <f t="shared" si="7"/>
        <v>2475.41</v>
      </c>
    </row>
    <row r="492" spans="1:9" x14ac:dyDescent="0.2">
      <c r="A492" s="1">
        <v>45298</v>
      </c>
      <c r="B492" t="s">
        <v>120</v>
      </c>
      <c r="C492" t="s">
        <v>232</v>
      </c>
      <c r="D492" t="s">
        <v>78</v>
      </c>
      <c r="E492" t="str" cm="1">
        <f t="array" ref="E492">_xlfn.XLOOKUP(D492,_xlfn.ANCHORARRAY('Item_ Master'!$A$2),'Item_ Master'!$B$2:$B$14,0,0)</f>
        <v>Personal Care</v>
      </c>
      <c r="F492">
        <v>9</v>
      </c>
      <c r="G492" s="3">
        <v>479.93</v>
      </c>
      <c r="H492" t="s">
        <v>12</v>
      </c>
      <c r="I492" s="2">
        <f t="shared" si="7"/>
        <v>4319.37</v>
      </c>
    </row>
    <row r="493" spans="1:9" x14ac:dyDescent="0.2">
      <c r="A493" s="1">
        <v>45367</v>
      </c>
      <c r="B493" t="s">
        <v>118</v>
      </c>
      <c r="C493" t="s">
        <v>232</v>
      </c>
      <c r="D493" t="s">
        <v>78</v>
      </c>
      <c r="E493" t="str" cm="1">
        <f t="array" ref="E493">_xlfn.XLOOKUP(D493,_xlfn.ANCHORARRAY('Item_ Master'!$A$2),'Item_ Master'!$B$2:$B$14,0,0)</f>
        <v>Personal Care</v>
      </c>
      <c r="F493">
        <v>2</v>
      </c>
      <c r="G493" s="3">
        <v>558.71</v>
      </c>
      <c r="H493" t="s">
        <v>43</v>
      </c>
      <c r="I493" s="2">
        <f t="shared" si="7"/>
        <v>1117.42</v>
      </c>
    </row>
    <row r="494" spans="1:9" x14ac:dyDescent="0.2">
      <c r="A494" s="1">
        <v>45438</v>
      </c>
      <c r="B494" t="s">
        <v>45</v>
      </c>
      <c r="C494" t="s">
        <v>235</v>
      </c>
      <c r="D494" t="s">
        <v>25</v>
      </c>
      <c r="E494" t="str" cm="1">
        <f t="array" ref="E494">_xlfn.XLOOKUP(D494,_xlfn.ANCHORARRAY('Item_ Master'!$A$2),'Item_ Master'!$B$2:$B$14,0,0)</f>
        <v>Grocery</v>
      </c>
      <c r="F494">
        <v>5</v>
      </c>
      <c r="G494" s="3">
        <v>260.67</v>
      </c>
      <c r="H494" t="s">
        <v>20</v>
      </c>
      <c r="I494" s="2">
        <f t="shared" si="7"/>
        <v>1303.3500000000001</v>
      </c>
    </row>
    <row r="495" spans="1:9" x14ac:dyDescent="0.2">
      <c r="A495" s="1">
        <v>45534</v>
      </c>
      <c r="B495" t="s">
        <v>91</v>
      </c>
      <c r="C495" t="s">
        <v>233</v>
      </c>
      <c r="D495" t="s">
        <v>40</v>
      </c>
      <c r="E495" t="str" cm="1">
        <f t="array" ref="E495">_xlfn.XLOOKUP(D495,_xlfn.ANCHORARRAY('Item_ Master'!$A$2),'Item_ Master'!$B$2:$B$14,0,0)</f>
        <v>Household</v>
      </c>
      <c r="F495">
        <v>7</v>
      </c>
      <c r="G495" s="3">
        <v>129.12</v>
      </c>
      <c r="H495" t="s">
        <v>43</v>
      </c>
      <c r="I495" s="2">
        <f t="shared" si="7"/>
        <v>903.84</v>
      </c>
    </row>
    <row r="496" spans="1:9" x14ac:dyDescent="0.2">
      <c r="A496" s="1">
        <v>45497</v>
      </c>
      <c r="B496" t="s">
        <v>91</v>
      </c>
      <c r="C496" t="s">
        <v>234</v>
      </c>
      <c r="D496" t="s">
        <v>59</v>
      </c>
      <c r="E496" t="str" cm="1">
        <f t="array" ref="E496">_xlfn.XLOOKUP(D496,_xlfn.ANCHORARRAY('Item_ Master'!$A$2),'Item_ Master'!$B$2:$B$14,0,0)</f>
        <v>Produce</v>
      </c>
      <c r="F496">
        <v>4</v>
      </c>
      <c r="G496" s="3">
        <v>77.11</v>
      </c>
      <c r="H496" t="s">
        <v>20</v>
      </c>
      <c r="I496" s="2">
        <f t="shared" si="7"/>
        <v>308.44</v>
      </c>
    </row>
    <row r="497" spans="1:9" x14ac:dyDescent="0.2">
      <c r="A497" s="1">
        <v>45482</v>
      </c>
      <c r="B497" t="s">
        <v>63</v>
      </c>
      <c r="C497" t="s">
        <v>235</v>
      </c>
      <c r="D497" t="s">
        <v>40</v>
      </c>
      <c r="E497" t="str" cm="1">
        <f t="array" ref="E497">_xlfn.XLOOKUP(D497,_xlfn.ANCHORARRAY('Item_ Master'!$A$2),'Item_ Master'!$B$2:$B$14,0,0)</f>
        <v>Household</v>
      </c>
      <c r="F497">
        <v>5</v>
      </c>
      <c r="G497" s="3">
        <v>204.19</v>
      </c>
      <c r="H497" t="s">
        <v>20</v>
      </c>
      <c r="I497" s="2">
        <f t="shared" si="7"/>
        <v>1020.95</v>
      </c>
    </row>
    <row r="498" spans="1:9" x14ac:dyDescent="0.2">
      <c r="A498" s="1">
        <v>45342</v>
      </c>
      <c r="B498" t="s">
        <v>200</v>
      </c>
      <c r="C498" t="s">
        <v>233</v>
      </c>
      <c r="D498" t="s">
        <v>40</v>
      </c>
      <c r="E498" t="str" cm="1">
        <f t="array" ref="E498">_xlfn.XLOOKUP(D498,_xlfn.ANCHORARRAY('Item_ Master'!$A$2),'Item_ Master'!$B$2:$B$14,0,0)</f>
        <v>Household</v>
      </c>
      <c r="F498">
        <v>8</v>
      </c>
      <c r="G498" s="3">
        <v>475.72</v>
      </c>
      <c r="H498" t="s">
        <v>20</v>
      </c>
      <c r="I498" s="2">
        <f t="shared" si="7"/>
        <v>3805.76</v>
      </c>
    </row>
    <row r="499" spans="1:9" x14ac:dyDescent="0.2">
      <c r="A499" s="1">
        <v>45505</v>
      </c>
      <c r="B499" t="s">
        <v>131</v>
      </c>
      <c r="C499" t="s">
        <v>231</v>
      </c>
      <c r="D499" t="s">
        <v>57</v>
      </c>
      <c r="E499" t="str" cm="1">
        <f t="array" ref="E499">_xlfn.XLOOKUP(D499,_xlfn.ANCHORARRAY('Item_ Master'!$A$2),'Item_ Master'!$B$2:$B$14,0,0)</f>
        <v>Bakery</v>
      </c>
      <c r="F499">
        <v>8</v>
      </c>
      <c r="G499" s="3">
        <v>166.26</v>
      </c>
      <c r="H499" t="s">
        <v>20</v>
      </c>
      <c r="I499" s="2">
        <f t="shared" si="7"/>
        <v>1330.08</v>
      </c>
    </row>
    <row r="500" spans="1:9" x14ac:dyDescent="0.2">
      <c r="A500" s="1">
        <v>45556</v>
      </c>
      <c r="B500" t="s">
        <v>182</v>
      </c>
      <c r="C500" t="s">
        <v>231</v>
      </c>
      <c r="D500" t="s">
        <v>251</v>
      </c>
      <c r="E500" t="str" cm="1">
        <f t="array" ref="E500">_xlfn.XLOOKUP(D500,_xlfn.ANCHORARRAY('Item_ Master'!$A$2),'Item_ Master'!$B$2:$B$14,0,0)</f>
        <v>Household</v>
      </c>
      <c r="F500">
        <v>3</v>
      </c>
      <c r="G500" s="3">
        <v>86.09</v>
      </c>
      <c r="H500" t="s">
        <v>43</v>
      </c>
      <c r="I500" s="2">
        <f t="shared" si="7"/>
        <v>258.27</v>
      </c>
    </row>
    <row r="501" spans="1:9" x14ac:dyDescent="0.2">
      <c r="A501" s="1">
        <v>45361</v>
      </c>
      <c r="B501" t="s">
        <v>100</v>
      </c>
      <c r="C501" t="s">
        <v>232</v>
      </c>
      <c r="D501" t="s">
        <v>78</v>
      </c>
      <c r="E501" t="str" cm="1">
        <f t="array" ref="E501">_xlfn.XLOOKUP(D501,_xlfn.ANCHORARRAY('Item_ Master'!$A$2),'Item_ Master'!$B$2:$B$14,0,0)</f>
        <v>Personal Care</v>
      </c>
      <c r="F501">
        <v>1</v>
      </c>
      <c r="G501" s="3">
        <v>145.56</v>
      </c>
      <c r="H501" t="s">
        <v>12</v>
      </c>
      <c r="I501" s="2">
        <f t="shared" si="7"/>
        <v>145.56</v>
      </c>
    </row>
  </sheetData>
  <pageMargins left="0.7" right="0.7" top="0.75" bottom="0.75" header="0.3" footer="0.3"/>
  <ignoredErrors>
    <ignoredError sqref="I2"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6836E-987F-4A0A-9828-5D1509F69B6D}">
  <dimension ref="A1:B14"/>
  <sheetViews>
    <sheetView workbookViewId="0">
      <selection activeCell="E16" sqref="E16"/>
    </sheetView>
  </sheetViews>
  <sheetFormatPr baseColWidth="10" defaultColWidth="8.83203125" defaultRowHeight="15" x14ac:dyDescent="0.2"/>
  <cols>
    <col min="1" max="2" width="13.33203125" customWidth="1"/>
  </cols>
  <sheetData>
    <row r="1" spans="1:2" x14ac:dyDescent="0.2">
      <c r="A1" s="6" t="s">
        <v>3</v>
      </c>
      <c r="B1" s="6" t="s">
        <v>4</v>
      </c>
    </row>
    <row r="2" spans="1:2" x14ac:dyDescent="0.2">
      <c r="A2" t="str" cm="1">
        <f t="array" ref="A2:A14">_xlfn.UNIQUE('Clean_Data'!D2:$D$501,FALSE)</f>
        <v>Onions</v>
      </c>
      <c r="B2" t="s">
        <v>11</v>
      </c>
    </row>
    <row r="3" spans="1:2" x14ac:dyDescent="0.2">
      <c r="A3" t="str">
        <v>Cooking Oil</v>
      </c>
      <c r="B3" t="s">
        <v>16</v>
      </c>
    </row>
    <row r="4" spans="1:2" x14ac:dyDescent="0.2">
      <c r="A4" t="str">
        <v>Bread</v>
      </c>
      <c r="B4" t="s">
        <v>19</v>
      </c>
    </row>
    <row r="5" spans="1:2" x14ac:dyDescent="0.2">
      <c r="A5" t="str">
        <v>Tomatoes</v>
      </c>
      <c r="B5" t="s">
        <v>11</v>
      </c>
    </row>
    <row r="6" spans="1:2" x14ac:dyDescent="0.2">
      <c r="A6" t="str">
        <v>Laundry Soap</v>
      </c>
      <c r="B6" t="s">
        <v>38</v>
      </c>
    </row>
    <row r="7" spans="1:2" x14ac:dyDescent="0.2">
      <c r="A7" t="str">
        <v>Rice</v>
      </c>
      <c r="B7" t="s">
        <v>11</v>
      </c>
    </row>
    <row r="8" spans="1:2" x14ac:dyDescent="0.2">
      <c r="A8" t="str">
        <v>Milk</v>
      </c>
      <c r="B8" t="s">
        <v>35</v>
      </c>
    </row>
    <row r="9" spans="1:2" x14ac:dyDescent="0.2">
      <c r="A9" t="str">
        <v>Sugar</v>
      </c>
      <c r="B9" t="s">
        <v>38</v>
      </c>
    </row>
    <row r="10" spans="1:2" x14ac:dyDescent="0.2">
      <c r="A10" t="str">
        <v>Eggs</v>
      </c>
      <c r="B10" t="s">
        <v>11</v>
      </c>
    </row>
    <row r="11" spans="1:2" x14ac:dyDescent="0.2">
      <c r="A11" t="str">
        <v>Shampoo</v>
      </c>
      <c r="B11" t="s">
        <v>50</v>
      </c>
    </row>
    <row r="12" spans="1:2" x14ac:dyDescent="0.2">
      <c r="A12" t="str">
        <v>Tissue</v>
      </c>
      <c r="B12" t="s">
        <v>38</v>
      </c>
    </row>
    <row r="13" spans="1:2" x14ac:dyDescent="0.2">
      <c r="A13" t="str">
        <v>Salt</v>
      </c>
      <c r="B13" t="s">
        <v>38</v>
      </c>
    </row>
    <row r="14" spans="1:2" x14ac:dyDescent="0.2">
      <c r="A14" t="str">
        <v>Toothpaste</v>
      </c>
      <c r="B14"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DB5F-D6D3-4950-AB75-ABE02671DD9C}">
  <dimension ref="A1:H501"/>
  <sheetViews>
    <sheetView zoomScaleNormal="100" workbookViewId="0">
      <selection activeCell="L6" sqref="L6"/>
    </sheetView>
  </sheetViews>
  <sheetFormatPr baseColWidth="10" defaultColWidth="8.83203125" defaultRowHeight="15" x14ac:dyDescent="0.2"/>
  <cols>
    <col min="1" max="1" width="10.6640625" bestFit="1" customWidth="1"/>
    <col min="2" max="2" width="12.6640625" customWidth="1"/>
    <col min="3" max="3" width="11.5" bestFit="1" customWidth="1"/>
    <col min="4" max="4" width="12.6640625" bestFit="1" customWidth="1"/>
    <col min="5" max="5" width="13.33203125" bestFit="1" customWidth="1"/>
    <col min="6" max="6" width="10.83203125" customWidth="1"/>
    <col min="7" max="7" width="12.5" customWidth="1"/>
    <col min="8" max="8" width="19.1640625" customWidth="1"/>
  </cols>
  <sheetData>
    <row r="1" spans="1:8" x14ac:dyDescent="0.2">
      <c r="A1" t="s">
        <v>0</v>
      </c>
      <c r="B1" t="s">
        <v>1</v>
      </c>
      <c r="C1" t="s">
        <v>2</v>
      </c>
      <c r="D1" t="s">
        <v>3</v>
      </c>
      <c r="E1" t="s">
        <v>4</v>
      </c>
      <c r="F1" t="s">
        <v>5</v>
      </c>
      <c r="G1" t="s">
        <v>6</v>
      </c>
      <c r="H1" t="s">
        <v>7</v>
      </c>
    </row>
    <row r="2" spans="1:8" x14ac:dyDescent="0.2">
      <c r="A2">
        <v>45619</v>
      </c>
      <c r="B2" t="s">
        <v>8</v>
      </c>
      <c r="C2" t="s">
        <v>9</v>
      </c>
      <c r="D2" t="s">
        <v>10</v>
      </c>
      <c r="E2" t="s">
        <v>11</v>
      </c>
      <c r="F2">
        <v>5</v>
      </c>
      <c r="G2">
        <v>184.69</v>
      </c>
      <c r="H2" t="s">
        <v>12</v>
      </c>
    </row>
    <row r="3" spans="1:8" x14ac:dyDescent="0.2">
      <c r="A3">
        <v>45571</v>
      </c>
      <c r="B3" t="s">
        <v>13</v>
      </c>
      <c r="C3" t="s">
        <v>14</v>
      </c>
      <c r="D3" t="s">
        <v>15</v>
      </c>
      <c r="E3" t="s">
        <v>16</v>
      </c>
      <c r="F3">
        <v>1</v>
      </c>
      <c r="G3">
        <v>66.39</v>
      </c>
      <c r="H3" t="s">
        <v>12</v>
      </c>
    </row>
    <row r="4" spans="1:8" x14ac:dyDescent="0.2">
      <c r="A4">
        <v>45600</v>
      </c>
      <c r="B4" t="s">
        <v>17</v>
      </c>
      <c r="C4" t="s">
        <v>14</v>
      </c>
      <c r="D4" t="s">
        <v>18</v>
      </c>
      <c r="E4" t="s">
        <v>19</v>
      </c>
      <c r="F4">
        <v>9</v>
      </c>
      <c r="G4">
        <v>280.74</v>
      </c>
      <c r="H4" t="s">
        <v>20</v>
      </c>
    </row>
    <row r="5" spans="1:8" x14ac:dyDescent="0.2">
      <c r="A5">
        <v>45295</v>
      </c>
      <c r="B5" t="s">
        <v>21</v>
      </c>
      <c r="C5" t="s">
        <v>22</v>
      </c>
      <c r="D5" t="s">
        <v>23</v>
      </c>
      <c r="E5" t="s">
        <v>11</v>
      </c>
      <c r="F5">
        <v>7</v>
      </c>
      <c r="G5">
        <v>237.14</v>
      </c>
      <c r="H5" t="s">
        <v>12</v>
      </c>
    </row>
    <row r="6" spans="1:8" x14ac:dyDescent="0.2">
      <c r="A6">
        <v>45464</v>
      </c>
      <c r="B6" t="s">
        <v>24</v>
      </c>
      <c r="C6" t="s">
        <v>9</v>
      </c>
      <c r="D6" t="s">
        <v>25</v>
      </c>
      <c r="E6" t="s">
        <v>16</v>
      </c>
      <c r="F6">
        <v>2</v>
      </c>
      <c r="G6">
        <v>247.44</v>
      </c>
      <c r="H6" t="s">
        <v>20</v>
      </c>
    </row>
    <row r="7" spans="1:8" x14ac:dyDescent="0.2">
      <c r="A7">
        <v>45314</v>
      </c>
      <c r="B7" t="s">
        <v>26</v>
      </c>
      <c r="C7" t="s">
        <v>27</v>
      </c>
      <c r="D7" t="s">
        <v>28</v>
      </c>
      <c r="E7" t="s">
        <v>29</v>
      </c>
      <c r="F7">
        <v>2</v>
      </c>
      <c r="G7">
        <v>585.21</v>
      </c>
      <c r="H7" t="s">
        <v>20</v>
      </c>
    </row>
    <row r="8" spans="1:8" x14ac:dyDescent="0.2">
      <c r="A8">
        <v>45442</v>
      </c>
      <c r="B8" t="s">
        <v>30</v>
      </c>
      <c r="C8" t="s">
        <v>14</v>
      </c>
      <c r="D8" t="s">
        <v>31</v>
      </c>
      <c r="E8" t="s">
        <v>29</v>
      </c>
      <c r="F8">
        <v>10</v>
      </c>
      <c r="G8">
        <v>155.76</v>
      </c>
      <c r="H8" t="s">
        <v>12</v>
      </c>
    </row>
    <row r="9" spans="1:8" x14ac:dyDescent="0.2">
      <c r="A9">
        <v>45408</v>
      </c>
      <c r="B9" t="s">
        <v>32</v>
      </c>
      <c r="C9" t="s">
        <v>33</v>
      </c>
      <c r="D9" t="s">
        <v>34</v>
      </c>
      <c r="E9" t="s">
        <v>35</v>
      </c>
      <c r="F9">
        <v>4</v>
      </c>
      <c r="G9">
        <v>526.57000000000005</v>
      </c>
      <c r="H9" t="s">
        <v>20</v>
      </c>
    </row>
    <row r="10" spans="1:8" x14ac:dyDescent="0.2">
      <c r="A10">
        <v>45617</v>
      </c>
      <c r="B10" t="s">
        <v>36</v>
      </c>
      <c r="C10" t="s">
        <v>22</v>
      </c>
      <c r="D10" t="s">
        <v>31</v>
      </c>
      <c r="E10" t="s">
        <v>16</v>
      </c>
      <c r="F10">
        <v>6</v>
      </c>
      <c r="G10">
        <v>165.23</v>
      </c>
      <c r="H10" t="s">
        <v>20</v>
      </c>
    </row>
    <row r="11" spans="1:8" x14ac:dyDescent="0.2">
      <c r="A11">
        <v>45328</v>
      </c>
      <c r="B11" t="s">
        <v>37</v>
      </c>
      <c r="C11" t="s">
        <v>22</v>
      </c>
      <c r="D11" t="s">
        <v>28</v>
      </c>
      <c r="E11" t="s">
        <v>38</v>
      </c>
      <c r="F11">
        <v>4</v>
      </c>
      <c r="G11">
        <v>139.87</v>
      </c>
      <c r="H11" t="s">
        <v>20</v>
      </c>
    </row>
    <row r="12" spans="1:8" x14ac:dyDescent="0.2">
      <c r="A12">
        <v>45619</v>
      </c>
      <c r="B12" t="s">
        <v>39</v>
      </c>
      <c r="C12" t="s">
        <v>14</v>
      </c>
      <c r="D12" t="s">
        <v>40</v>
      </c>
      <c r="E12" t="s">
        <v>16</v>
      </c>
      <c r="F12">
        <v>6</v>
      </c>
      <c r="G12">
        <v>513.57000000000005</v>
      </c>
      <c r="H12" t="s">
        <v>12</v>
      </c>
    </row>
    <row r="13" spans="1:8" x14ac:dyDescent="0.2">
      <c r="A13">
        <v>45308</v>
      </c>
      <c r="B13" t="s">
        <v>41</v>
      </c>
      <c r="C13" t="s">
        <v>27</v>
      </c>
      <c r="D13" t="s">
        <v>42</v>
      </c>
      <c r="E13" t="s">
        <v>16</v>
      </c>
      <c r="F13">
        <v>2</v>
      </c>
      <c r="G13">
        <v>166.04</v>
      </c>
      <c r="H13" t="s">
        <v>43</v>
      </c>
    </row>
    <row r="14" spans="1:8" x14ac:dyDescent="0.2">
      <c r="A14">
        <v>45453</v>
      </c>
      <c r="B14" t="s">
        <v>44</v>
      </c>
      <c r="C14" t="s">
        <v>27</v>
      </c>
      <c r="D14" t="s">
        <v>25</v>
      </c>
      <c r="E14" t="s">
        <v>16</v>
      </c>
      <c r="F14">
        <v>8</v>
      </c>
      <c r="G14">
        <v>128.58000000000001</v>
      </c>
      <c r="H14" t="s">
        <v>12</v>
      </c>
    </row>
    <row r="15" spans="1:8" x14ac:dyDescent="0.2">
      <c r="A15">
        <v>45579</v>
      </c>
      <c r="B15" t="s">
        <v>45</v>
      </c>
      <c r="C15" t="s">
        <v>33</v>
      </c>
      <c r="D15" t="s">
        <v>10</v>
      </c>
      <c r="E15" t="s">
        <v>11</v>
      </c>
      <c r="F15">
        <v>10</v>
      </c>
      <c r="G15">
        <v>285.64</v>
      </c>
      <c r="H15" t="s">
        <v>43</v>
      </c>
    </row>
    <row r="16" spans="1:8" x14ac:dyDescent="0.2">
      <c r="A16">
        <v>45404</v>
      </c>
      <c r="B16" t="s">
        <v>46</v>
      </c>
      <c r="C16" t="s">
        <v>14</v>
      </c>
      <c r="D16" t="s">
        <v>47</v>
      </c>
      <c r="E16" t="s">
        <v>35</v>
      </c>
      <c r="F16">
        <v>2</v>
      </c>
      <c r="G16">
        <v>465.68</v>
      </c>
      <c r="H16" t="s">
        <v>12</v>
      </c>
    </row>
    <row r="17" spans="1:8" x14ac:dyDescent="0.2">
      <c r="A17">
        <v>45373</v>
      </c>
      <c r="B17" t="s">
        <v>48</v>
      </c>
      <c r="C17" t="s">
        <v>27</v>
      </c>
      <c r="D17" t="s">
        <v>49</v>
      </c>
      <c r="E17" t="s">
        <v>50</v>
      </c>
      <c r="F17">
        <v>2</v>
      </c>
      <c r="G17">
        <v>261.62</v>
      </c>
      <c r="H17" t="s">
        <v>43</v>
      </c>
    </row>
    <row r="18" spans="1:8" x14ac:dyDescent="0.2">
      <c r="A18">
        <v>45562</v>
      </c>
      <c r="B18" t="s">
        <v>51</v>
      </c>
      <c r="C18" t="s">
        <v>14</v>
      </c>
      <c r="D18" t="s">
        <v>52</v>
      </c>
      <c r="E18" t="s">
        <v>35</v>
      </c>
      <c r="F18">
        <v>2</v>
      </c>
      <c r="G18">
        <v>424.94</v>
      </c>
      <c r="H18" t="s">
        <v>43</v>
      </c>
    </row>
    <row r="19" spans="1:8" x14ac:dyDescent="0.2">
      <c r="A19">
        <v>45620</v>
      </c>
      <c r="B19" t="s">
        <v>53</v>
      </c>
      <c r="C19" t="s">
        <v>9</v>
      </c>
      <c r="D19" t="s">
        <v>54</v>
      </c>
      <c r="E19" t="s">
        <v>16</v>
      </c>
      <c r="F19">
        <v>7</v>
      </c>
      <c r="G19">
        <v>136.99</v>
      </c>
      <c r="H19" t="s">
        <v>12</v>
      </c>
    </row>
    <row r="20" spans="1:8" x14ac:dyDescent="0.2">
      <c r="A20">
        <v>45426</v>
      </c>
      <c r="B20" t="s">
        <v>55</v>
      </c>
      <c r="C20" t="s">
        <v>22</v>
      </c>
      <c r="D20" t="s">
        <v>56</v>
      </c>
      <c r="E20" t="s">
        <v>38</v>
      </c>
      <c r="F20">
        <v>2</v>
      </c>
      <c r="G20">
        <v>528.79</v>
      </c>
      <c r="H20" t="s">
        <v>20</v>
      </c>
    </row>
    <row r="21" spans="1:8" x14ac:dyDescent="0.2">
      <c r="A21">
        <v>45551</v>
      </c>
      <c r="B21" t="s">
        <v>37</v>
      </c>
      <c r="C21" t="s">
        <v>22</v>
      </c>
      <c r="D21" t="s">
        <v>57</v>
      </c>
      <c r="E21" t="s">
        <v>19</v>
      </c>
      <c r="F21">
        <v>6</v>
      </c>
      <c r="G21">
        <v>469.38</v>
      </c>
      <c r="H21" t="s">
        <v>43</v>
      </c>
    </row>
    <row r="22" spans="1:8" x14ac:dyDescent="0.2">
      <c r="A22">
        <v>45563</v>
      </c>
      <c r="B22" t="s">
        <v>58</v>
      </c>
      <c r="C22" t="s">
        <v>14</v>
      </c>
      <c r="D22" t="s">
        <v>59</v>
      </c>
      <c r="E22" t="s">
        <v>16</v>
      </c>
      <c r="F22">
        <v>8</v>
      </c>
      <c r="G22">
        <v>60.71</v>
      </c>
      <c r="H22" t="s">
        <v>20</v>
      </c>
    </row>
    <row r="23" spans="1:8" x14ac:dyDescent="0.2">
      <c r="A23">
        <v>45449</v>
      </c>
      <c r="B23" t="s">
        <v>60</v>
      </c>
      <c r="C23" t="s">
        <v>9</v>
      </c>
      <c r="D23" t="s">
        <v>40</v>
      </c>
      <c r="E23" t="s">
        <v>16</v>
      </c>
      <c r="F23">
        <v>10</v>
      </c>
      <c r="G23">
        <v>570.82000000000005</v>
      </c>
      <c r="H23" t="s">
        <v>12</v>
      </c>
    </row>
    <row r="24" spans="1:8" x14ac:dyDescent="0.2">
      <c r="A24">
        <v>45327</v>
      </c>
      <c r="B24" t="s">
        <v>21</v>
      </c>
      <c r="C24" t="s">
        <v>14</v>
      </c>
      <c r="D24" t="s">
        <v>57</v>
      </c>
      <c r="E24" t="s">
        <v>19</v>
      </c>
      <c r="F24">
        <v>3</v>
      </c>
      <c r="G24">
        <v>412.86</v>
      </c>
      <c r="H24" t="s">
        <v>43</v>
      </c>
    </row>
    <row r="25" spans="1:8" x14ac:dyDescent="0.2">
      <c r="A25">
        <v>45562</v>
      </c>
      <c r="B25" t="s">
        <v>37</v>
      </c>
      <c r="C25" t="s">
        <v>27</v>
      </c>
      <c r="D25" t="s">
        <v>18</v>
      </c>
      <c r="E25" t="s">
        <v>19</v>
      </c>
      <c r="F25">
        <v>9</v>
      </c>
      <c r="G25">
        <v>465.4</v>
      </c>
      <c r="H25" t="s">
        <v>43</v>
      </c>
    </row>
    <row r="26" spans="1:8" x14ac:dyDescent="0.2">
      <c r="A26">
        <v>45451</v>
      </c>
      <c r="B26" t="s">
        <v>61</v>
      </c>
      <c r="C26" t="s">
        <v>33</v>
      </c>
      <c r="D26" t="s">
        <v>62</v>
      </c>
      <c r="E26" t="s">
        <v>35</v>
      </c>
      <c r="F26">
        <v>9</v>
      </c>
      <c r="G26">
        <v>298.32</v>
      </c>
      <c r="H26" t="s">
        <v>12</v>
      </c>
    </row>
    <row r="27" spans="1:8" x14ac:dyDescent="0.2">
      <c r="A27">
        <v>45465</v>
      </c>
      <c r="B27" t="s">
        <v>63</v>
      </c>
      <c r="C27" t="s">
        <v>14</v>
      </c>
      <c r="D27" t="s">
        <v>28</v>
      </c>
      <c r="E27" t="s">
        <v>29</v>
      </c>
      <c r="F27">
        <v>4</v>
      </c>
      <c r="G27">
        <v>373.64</v>
      </c>
      <c r="H27" t="s">
        <v>12</v>
      </c>
    </row>
    <row r="28" spans="1:8" x14ac:dyDescent="0.2">
      <c r="A28">
        <v>45615</v>
      </c>
      <c r="B28" t="s">
        <v>64</v>
      </c>
      <c r="C28" t="s">
        <v>22</v>
      </c>
      <c r="D28" t="s">
        <v>34</v>
      </c>
      <c r="E28" t="s">
        <v>35</v>
      </c>
      <c r="F28">
        <v>1</v>
      </c>
      <c r="G28">
        <v>522.79999999999995</v>
      </c>
      <c r="H28" t="s">
        <v>12</v>
      </c>
    </row>
    <row r="29" spans="1:8" x14ac:dyDescent="0.2">
      <c r="A29">
        <v>45434</v>
      </c>
      <c r="B29" t="s">
        <v>65</v>
      </c>
      <c r="C29" t="s">
        <v>27</v>
      </c>
      <c r="D29" t="s">
        <v>18</v>
      </c>
      <c r="E29" t="s">
        <v>19</v>
      </c>
      <c r="F29">
        <v>9</v>
      </c>
      <c r="G29">
        <v>122.77</v>
      </c>
      <c r="H29" t="s">
        <v>43</v>
      </c>
    </row>
    <row r="30" spans="1:8" x14ac:dyDescent="0.2">
      <c r="A30">
        <v>45416</v>
      </c>
      <c r="B30" t="s">
        <v>66</v>
      </c>
      <c r="C30" t="s">
        <v>27</v>
      </c>
      <c r="D30" t="s">
        <v>15</v>
      </c>
      <c r="E30" t="s">
        <v>16</v>
      </c>
      <c r="F30">
        <v>4</v>
      </c>
      <c r="G30">
        <v>101.88</v>
      </c>
      <c r="H30" t="s">
        <v>43</v>
      </c>
    </row>
    <row r="31" spans="1:8" x14ac:dyDescent="0.2">
      <c r="A31">
        <v>45508</v>
      </c>
      <c r="B31" t="s">
        <v>67</v>
      </c>
      <c r="C31" t="s">
        <v>27</v>
      </c>
      <c r="D31" t="s">
        <v>10</v>
      </c>
      <c r="E31" t="s">
        <v>29</v>
      </c>
      <c r="F31">
        <v>1</v>
      </c>
      <c r="G31">
        <v>420.35</v>
      </c>
      <c r="H31" t="s">
        <v>43</v>
      </c>
    </row>
    <row r="32" spans="1:8" x14ac:dyDescent="0.2">
      <c r="A32">
        <v>45498</v>
      </c>
      <c r="B32" t="s">
        <v>26</v>
      </c>
      <c r="C32" t="s">
        <v>33</v>
      </c>
      <c r="D32" t="s">
        <v>68</v>
      </c>
      <c r="E32" t="s">
        <v>35</v>
      </c>
      <c r="F32">
        <v>4</v>
      </c>
      <c r="G32">
        <v>155.37</v>
      </c>
      <c r="H32" t="s">
        <v>43</v>
      </c>
    </row>
    <row r="33" spans="1:8" x14ac:dyDescent="0.2">
      <c r="A33">
        <v>45508</v>
      </c>
      <c r="B33" t="s">
        <v>69</v>
      </c>
      <c r="C33" t="s">
        <v>33</v>
      </c>
      <c r="D33" t="s">
        <v>62</v>
      </c>
      <c r="E33" t="s">
        <v>35</v>
      </c>
      <c r="F33">
        <v>4</v>
      </c>
      <c r="G33">
        <v>530.97</v>
      </c>
      <c r="H33" t="s">
        <v>12</v>
      </c>
    </row>
    <row r="34" spans="1:8" x14ac:dyDescent="0.2">
      <c r="A34">
        <v>45573</v>
      </c>
      <c r="B34" t="s">
        <v>70</v>
      </c>
      <c r="C34" t="s">
        <v>9</v>
      </c>
      <c r="D34" t="s">
        <v>71</v>
      </c>
      <c r="E34" t="s">
        <v>16</v>
      </c>
      <c r="F34">
        <v>9</v>
      </c>
      <c r="G34">
        <v>509.82</v>
      </c>
      <c r="H34" t="s">
        <v>12</v>
      </c>
    </row>
    <row r="35" spans="1:8" x14ac:dyDescent="0.2">
      <c r="A35">
        <v>45413</v>
      </c>
      <c r="B35" t="s">
        <v>72</v>
      </c>
      <c r="C35" t="s">
        <v>27</v>
      </c>
      <c r="D35" t="s">
        <v>47</v>
      </c>
      <c r="E35" t="s">
        <v>35</v>
      </c>
      <c r="F35">
        <v>8</v>
      </c>
      <c r="G35">
        <v>167.56</v>
      </c>
      <c r="H35" t="s">
        <v>20</v>
      </c>
    </row>
    <row r="36" spans="1:8" x14ac:dyDescent="0.2">
      <c r="A36">
        <v>45376</v>
      </c>
      <c r="B36" t="s">
        <v>73</v>
      </c>
      <c r="C36" t="s">
        <v>9</v>
      </c>
      <c r="D36" t="s">
        <v>25</v>
      </c>
      <c r="E36" t="s">
        <v>16</v>
      </c>
      <c r="F36">
        <v>5</v>
      </c>
      <c r="G36">
        <v>559.58000000000004</v>
      </c>
      <c r="H36" t="s">
        <v>20</v>
      </c>
    </row>
    <row r="37" spans="1:8" x14ac:dyDescent="0.2">
      <c r="A37">
        <v>45576</v>
      </c>
      <c r="B37" t="s">
        <v>74</v>
      </c>
      <c r="C37" t="s">
        <v>27</v>
      </c>
      <c r="D37" t="s">
        <v>57</v>
      </c>
      <c r="E37" t="s">
        <v>19</v>
      </c>
      <c r="F37">
        <v>4</v>
      </c>
      <c r="G37">
        <v>213.19</v>
      </c>
      <c r="H37" t="s">
        <v>12</v>
      </c>
    </row>
    <row r="38" spans="1:8" x14ac:dyDescent="0.2">
      <c r="A38">
        <v>45569</v>
      </c>
      <c r="B38" t="s">
        <v>64</v>
      </c>
      <c r="C38" t="s">
        <v>33</v>
      </c>
      <c r="D38" t="s">
        <v>75</v>
      </c>
      <c r="E38" t="s">
        <v>35</v>
      </c>
      <c r="F38">
        <v>1</v>
      </c>
      <c r="G38">
        <v>371.3</v>
      </c>
      <c r="H38" t="s">
        <v>43</v>
      </c>
    </row>
    <row r="39" spans="1:8" x14ac:dyDescent="0.2">
      <c r="A39">
        <v>45563</v>
      </c>
      <c r="B39" t="s">
        <v>76</v>
      </c>
      <c r="C39" t="s">
        <v>9</v>
      </c>
      <c r="D39" t="s">
        <v>56</v>
      </c>
      <c r="E39" t="s">
        <v>38</v>
      </c>
      <c r="F39">
        <v>2</v>
      </c>
      <c r="G39">
        <v>518.24</v>
      </c>
      <c r="H39" t="s">
        <v>12</v>
      </c>
    </row>
    <row r="40" spans="1:8" x14ac:dyDescent="0.2">
      <c r="A40">
        <v>45412</v>
      </c>
      <c r="B40" t="s">
        <v>77</v>
      </c>
      <c r="C40" t="s">
        <v>9</v>
      </c>
      <c r="D40" t="s">
        <v>78</v>
      </c>
      <c r="E40" t="s">
        <v>50</v>
      </c>
      <c r="F40">
        <v>4</v>
      </c>
      <c r="G40">
        <v>368.41</v>
      </c>
      <c r="H40" t="s">
        <v>12</v>
      </c>
    </row>
    <row r="41" spans="1:8" x14ac:dyDescent="0.2">
      <c r="A41">
        <v>45506</v>
      </c>
      <c r="B41" t="s">
        <v>79</v>
      </c>
      <c r="C41" t="s">
        <v>14</v>
      </c>
      <c r="D41" t="s">
        <v>78</v>
      </c>
      <c r="E41" t="s">
        <v>50</v>
      </c>
      <c r="F41">
        <v>9</v>
      </c>
      <c r="G41">
        <v>224</v>
      </c>
      <c r="H41" t="s">
        <v>20</v>
      </c>
    </row>
    <row r="42" spans="1:8" x14ac:dyDescent="0.2">
      <c r="A42">
        <v>45452</v>
      </c>
      <c r="B42" t="s">
        <v>60</v>
      </c>
      <c r="C42" t="s">
        <v>33</v>
      </c>
      <c r="D42" t="s">
        <v>25</v>
      </c>
      <c r="E42" t="s">
        <v>16</v>
      </c>
      <c r="F42">
        <v>3</v>
      </c>
      <c r="G42">
        <v>419.43</v>
      </c>
      <c r="H42" t="s">
        <v>20</v>
      </c>
    </row>
    <row r="43" spans="1:8" x14ac:dyDescent="0.2">
      <c r="A43">
        <v>45329</v>
      </c>
      <c r="B43" t="s">
        <v>80</v>
      </c>
      <c r="C43" t="s">
        <v>27</v>
      </c>
      <c r="D43" t="s">
        <v>49</v>
      </c>
      <c r="E43" t="s">
        <v>50</v>
      </c>
      <c r="F43">
        <v>10</v>
      </c>
      <c r="G43">
        <v>597.85</v>
      </c>
      <c r="H43" t="s">
        <v>12</v>
      </c>
    </row>
    <row r="44" spans="1:8" x14ac:dyDescent="0.2">
      <c r="A44">
        <v>45551</v>
      </c>
      <c r="B44" t="s">
        <v>81</v>
      </c>
      <c r="C44" t="s">
        <v>22</v>
      </c>
      <c r="D44" t="s">
        <v>31</v>
      </c>
      <c r="E44" t="s">
        <v>16</v>
      </c>
      <c r="F44">
        <v>2</v>
      </c>
      <c r="G44">
        <v>533.6</v>
      </c>
      <c r="H44" t="s">
        <v>20</v>
      </c>
    </row>
    <row r="45" spans="1:8" x14ac:dyDescent="0.2">
      <c r="A45">
        <v>45516</v>
      </c>
      <c r="B45" t="s">
        <v>82</v>
      </c>
      <c r="C45" t="s">
        <v>33</v>
      </c>
      <c r="D45" t="s">
        <v>49</v>
      </c>
      <c r="E45" t="s">
        <v>50</v>
      </c>
      <c r="F45">
        <v>9</v>
      </c>
      <c r="G45">
        <v>54.3</v>
      </c>
      <c r="H45" t="s">
        <v>43</v>
      </c>
    </row>
    <row r="46" spans="1:8" x14ac:dyDescent="0.2">
      <c r="A46">
        <v>45345</v>
      </c>
      <c r="B46" t="s">
        <v>83</v>
      </c>
      <c r="C46" t="s">
        <v>33</v>
      </c>
      <c r="D46" t="s">
        <v>68</v>
      </c>
      <c r="E46" t="s">
        <v>35</v>
      </c>
      <c r="F46">
        <v>2</v>
      </c>
      <c r="G46">
        <v>458.33</v>
      </c>
      <c r="H46" t="s">
        <v>12</v>
      </c>
    </row>
    <row r="47" spans="1:8" x14ac:dyDescent="0.2">
      <c r="A47">
        <v>45601</v>
      </c>
      <c r="B47" t="s">
        <v>84</v>
      </c>
      <c r="C47" t="s">
        <v>33</v>
      </c>
      <c r="D47" t="s">
        <v>18</v>
      </c>
      <c r="E47" t="s">
        <v>19</v>
      </c>
      <c r="F47">
        <v>5</v>
      </c>
      <c r="G47">
        <v>327.97</v>
      </c>
      <c r="H47" t="s">
        <v>20</v>
      </c>
    </row>
    <row r="48" spans="1:8" x14ac:dyDescent="0.2">
      <c r="A48">
        <v>45318</v>
      </c>
      <c r="B48" t="s">
        <v>85</v>
      </c>
      <c r="C48" t="s">
        <v>27</v>
      </c>
      <c r="D48" t="s">
        <v>42</v>
      </c>
      <c r="E48" t="s">
        <v>16</v>
      </c>
      <c r="F48">
        <v>1</v>
      </c>
      <c r="G48">
        <v>51.95</v>
      </c>
      <c r="H48" t="s">
        <v>12</v>
      </c>
    </row>
    <row r="49" spans="1:8" x14ac:dyDescent="0.2">
      <c r="A49">
        <v>45426</v>
      </c>
      <c r="B49" t="s">
        <v>86</v>
      </c>
      <c r="C49" t="s">
        <v>27</v>
      </c>
      <c r="D49" t="s">
        <v>28</v>
      </c>
      <c r="E49" t="s">
        <v>29</v>
      </c>
      <c r="F49">
        <v>7</v>
      </c>
      <c r="G49">
        <v>358.5</v>
      </c>
      <c r="H49" t="s">
        <v>12</v>
      </c>
    </row>
    <row r="50" spans="1:8" x14ac:dyDescent="0.2">
      <c r="A50">
        <v>45368</v>
      </c>
      <c r="B50" t="s">
        <v>82</v>
      </c>
      <c r="C50" t="s">
        <v>9</v>
      </c>
      <c r="D50" t="s">
        <v>31</v>
      </c>
      <c r="E50" t="s">
        <v>29</v>
      </c>
      <c r="F50">
        <v>10</v>
      </c>
      <c r="G50">
        <v>353.89</v>
      </c>
      <c r="H50" t="s">
        <v>20</v>
      </c>
    </row>
    <row r="51" spans="1:8" x14ac:dyDescent="0.2">
      <c r="A51">
        <v>45449</v>
      </c>
      <c r="B51" t="s">
        <v>36</v>
      </c>
      <c r="C51" t="s">
        <v>9</v>
      </c>
      <c r="D51" t="s">
        <v>31</v>
      </c>
      <c r="E51" t="s">
        <v>29</v>
      </c>
      <c r="F51">
        <v>4</v>
      </c>
      <c r="G51">
        <v>425.14</v>
      </c>
      <c r="H51" t="s">
        <v>43</v>
      </c>
    </row>
    <row r="52" spans="1:8" x14ac:dyDescent="0.2">
      <c r="A52">
        <v>45578</v>
      </c>
      <c r="B52" t="s">
        <v>87</v>
      </c>
      <c r="C52" t="s">
        <v>14</v>
      </c>
      <c r="D52" t="s">
        <v>10</v>
      </c>
      <c r="E52" t="s">
        <v>11</v>
      </c>
      <c r="F52">
        <v>3</v>
      </c>
      <c r="G52">
        <v>559.16999999999996</v>
      </c>
      <c r="H52" t="s">
        <v>12</v>
      </c>
    </row>
    <row r="53" spans="1:8" x14ac:dyDescent="0.2">
      <c r="A53">
        <v>45382</v>
      </c>
      <c r="B53" t="s">
        <v>67</v>
      </c>
      <c r="C53" t="s">
        <v>9</v>
      </c>
      <c r="D53" t="s">
        <v>88</v>
      </c>
      <c r="E53" t="s">
        <v>19</v>
      </c>
      <c r="F53">
        <v>6</v>
      </c>
      <c r="G53">
        <v>480.31</v>
      </c>
      <c r="H53" t="s">
        <v>20</v>
      </c>
    </row>
    <row r="54" spans="1:8" x14ac:dyDescent="0.2">
      <c r="A54">
        <v>45419</v>
      </c>
      <c r="B54" t="s">
        <v>89</v>
      </c>
      <c r="C54" t="s">
        <v>22</v>
      </c>
      <c r="D54" t="s">
        <v>23</v>
      </c>
      <c r="E54" t="s">
        <v>11</v>
      </c>
      <c r="F54">
        <v>2</v>
      </c>
      <c r="G54">
        <v>260.39999999999998</v>
      </c>
      <c r="H54" t="s">
        <v>12</v>
      </c>
    </row>
    <row r="55" spans="1:8" x14ac:dyDescent="0.2">
      <c r="A55">
        <v>45405</v>
      </c>
      <c r="B55" t="s">
        <v>90</v>
      </c>
      <c r="C55" t="s">
        <v>27</v>
      </c>
      <c r="D55" t="s">
        <v>31</v>
      </c>
      <c r="E55" t="s">
        <v>16</v>
      </c>
      <c r="F55">
        <v>5</v>
      </c>
      <c r="G55">
        <v>501.3</v>
      </c>
      <c r="H55" t="s">
        <v>12</v>
      </c>
    </row>
    <row r="56" spans="1:8" x14ac:dyDescent="0.2">
      <c r="A56">
        <v>45390</v>
      </c>
      <c r="B56" t="s">
        <v>61</v>
      </c>
      <c r="C56" t="s">
        <v>33</v>
      </c>
      <c r="D56" t="s">
        <v>42</v>
      </c>
      <c r="E56" t="s">
        <v>16</v>
      </c>
      <c r="F56">
        <v>2</v>
      </c>
      <c r="G56">
        <v>581.79</v>
      </c>
      <c r="H56" t="s">
        <v>20</v>
      </c>
    </row>
    <row r="57" spans="1:8" x14ac:dyDescent="0.2">
      <c r="A57">
        <v>45552</v>
      </c>
      <c r="B57" t="s">
        <v>61</v>
      </c>
      <c r="C57" t="s">
        <v>14</v>
      </c>
      <c r="D57" t="s">
        <v>59</v>
      </c>
      <c r="E57" t="s">
        <v>16</v>
      </c>
      <c r="F57">
        <v>1</v>
      </c>
      <c r="G57">
        <v>113.44</v>
      </c>
      <c r="H57" t="s">
        <v>20</v>
      </c>
    </row>
    <row r="58" spans="1:8" x14ac:dyDescent="0.2">
      <c r="A58">
        <v>45427</v>
      </c>
      <c r="B58" t="s">
        <v>91</v>
      </c>
      <c r="C58" t="s">
        <v>9</v>
      </c>
      <c r="D58" t="s">
        <v>49</v>
      </c>
      <c r="E58" t="s">
        <v>50</v>
      </c>
      <c r="F58">
        <v>7</v>
      </c>
      <c r="G58">
        <v>240.13</v>
      </c>
      <c r="H58" t="s">
        <v>20</v>
      </c>
    </row>
    <row r="59" spans="1:8" x14ac:dyDescent="0.2">
      <c r="A59">
        <v>45553</v>
      </c>
      <c r="B59" t="s">
        <v>92</v>
      </c>
      <c r="C59" t="s">
        <v>27</v>
      </c>
      <c r="D59" t="s">
        <v>78</v>
      </c>
      <c r="E59" t="s">
        <v>50</v>
      </c>
      <c r="F59">
        <v>4</v>
      </c>
      <c r="G59">
        <v>190.1</v>
      </c>
      <c r="H59" t="s">
        <v>43</v>
      </c>
    </row>
    <row r="60" spans="1:8" x14ac:dyDescent="0.2">
      <c r="A60">
        <v>45558</v>
      </c>
      <c r="B60" t="s">
        <v>45</v>
      </c>
      <c r="C60" t="s">
        <v>22</v>
      </c>
      <c r="D60" t="s">
        <v>31</v>
      </c>
      <c r="E60" t="s">
        <v>16</v>
      </c>
      <c r="F60">
        <v>7</v>
      </c>
      <c r="G60">
        <v>88.49</v>
      </c>
      <c r="H60" t="s">
        <v>43</v>
      </c>
    </row>
    <row r="61" spans="1:8" x14ac:dyDescent="0.2">
      <c r="A61">
        <v>45611</v>
      </c>
      <c r="B61" t="s">
        <v>41</v>
      </c>
      <c r="C61" t="s">
        <v>9</v>
      </c>
      <c r="D61" t="s">
        <v>10</v>
      </c>
      <c r="E61" t="s">
        <v>11</v>
      </c>
      <c r="F61">
        <v>5</v>
      </c>
      <c r="G61">
        <v>328.92</v>
      </c>
      <c r="H61" t="s">
        <v>43</v>
      </c>
    </row>
    <row r="62" spans="1:8" x14ac:dyDescent="0.2">
      <c r="A62">
        <v>45498</v>
      </c>
      <c r="B62" t="s">
        <v>93</v>
      </c>
      <c r="C62" t="s">
        <v>33</v>
      </c>
      <c r="D62" t="s">
        <v>28</v>
      </c>
      <c r="E62" t="s">
        <v>38</v>
      </c>
      <c r="F62">
        <v>3</v>
      </c>
      <c r="G62">
        <v>155.51</v>
      </c>
      <c r="H62" t="s">
        <v>43</v>
      </c>
    </row>
    <row r="63" spans="1:8" x14ac:dyDescent="0.2">
      <c r="A63">
        <v>45381</v>
      </c>
      <c r="B63" t="s">
        <v>94</v>
      </c>
      <c r="C63" t="s">
        <v>14</v>
      </c>
      <c r="D63" t="s">
        <v>54</v>
      </c>
      <c r="E63" t="s">
        <v>16</v>
      </c>
      <c r="F63">
        <v>7</v>
      </c>
      <c r="G63">
        <v>351.37</v>
      </c>
      <c r="H63" t="s">
        <v>12</v>
      </c>
    </row>
    <row r="64" spans="1:8" x14ac:dyDescent="0.2">
      <c r="A64">
        <v>45399</v>
      </c>
      <c r="B64" t="s">
        <v>95</v>
      </c>
      <c r="C64" t="s">
        <v>14</v>
      </c>
      <c r="D64" t="s">
        <v>49</v>
      </c>
      <c r="E64" t="s">
        <v>50</v>
      </c>
      <c r="F64">
        <v>6</v>
      </c>
      <c r="G64">
        <v>305.74</v>
      </c>
      <c r="H64" t="s">
        <v>20</v>
      </c>
    </row>
    <row r="65" spans="1:8" x14ac:dyDescent="0.2">
      <c r="A65">
        <v>45553</v>
      </c>
      <c r="B65" t="s">
        <v>96</v>
      </c>
      <c r="C65" t="s">
        <v>22</v>
      </c>
      <c r="D65" t="s">
        <v>97</v>
      </c>
      <c r="E65" t="s">
        <v>16</v>
      </c>
      <c r="F65">
        <v>2</v>
      </c>
      <c r="G65">
        <v>206.08</v>
      </c>
      <c r="H65" t="s">
        <v>43</v>
      </c>
    </row>
    <row r="66" spans="1:8" x14ac:dyDescent="0.2">
      <c r="A66">
        <v>45463</v>
      </c>
      <c r="B66" t="s">
        <v>85</v>
      </c>
      <c r="C66" t="s">
        <v>22</v>
      </c>
      <c r="D66" t="s">
        <v>97</v>
      </c>
      <c r="E66" t="s">
        <v>29</v>
      </c>
      <c r="F66">
        <v>5</v>
      </c>
      <c r="G66">
        <v>173.55</v>
      </c>
      <c r="H66" t="s">
        <v>12</v>
      </c>
    </row>
    <row r="67" spans="1:8" x14ac:dyDescent="0.2">
      <c r="A67">
        <v>45315</v>
      </c>
      <c r="B67" t="s">
        <v>98</v>
      </c>
      <c r="C67" t="s">
        <v>27</v>
      </c>
      <c r="D67" t="s">
        <v>49</v>
      </c>
      <c r="E67" t="s">
        <v>50</v>
      </c>
      <c r="F67">
        <v>2</v>
      </c>
      <c r="G67">
        <v>300.48</v>
      </c>
      <c r="H67" t="s">
        <v>43</v>
      </c>
    </row>
    <row r="68" spans="1:8" x14ac:dyDescent="0.2">
      <c r="A68">
        <v>45488</v>
      </c>
      <c r="B68" t="s">
        <v>99</v>
      </c>
      <c r="C68" t="s">
        <v>27</v>
      </c>
      <c r="D68" t="s">
        <v>40</v>
      </c>
      <c r="E68" t="s">
        <v>16</v>
      </c>
      <c r="F68">
        <v>3</v>
      </c>
      <c r="G68">
        <v>410.83</v>
      </c>
      <c r="H68" t="s">
        <v>12</v>
      </c>
    </row>
    <row r="69" spans="1:8" x14ac:dyDescent="0.2">
      <c r="A69">
        <v>45346</v>
      </c>
      <c r="B69" t="s">
        <v>100</v>
      </c>
      <c r="C69" t="s">
        <v>27</v>
      </c>
      <c r="D69" t="s">
        <v>40</v>
      </c>
      <c r="E69" t="s">
        <v>16</v>
      </c>
      <c r="F69">
        <v>3</v>
      </c>
      <c r="G69">
        <v>492.26</v>
      </c>
      <c r="H69" t="s">
        <v>43</v>
      </c>
    </row>
    <row r="70" spans="1:8" x14ac:dyDescent="0.2">
      <c r="A70">
        <v>45317</v>
      </c>
      <c r="B70" t="s">
        <v>101</v>
      </c>
      <c r="C70" t="s">
        <v>22</v>
      </c>
      <c r="D70" t="s">
        <v>68</v>
      </c>
      <c r="E70" t="s">
        <v>35</v>
      </c>
      <c r="F70">
        <v>8</v>
      </c>
      <c r="G70">
        <v>123.34</v>
      </c>
      <c r="H70" t="s">
        <v>20</v>
      </c>
    </row>
    <row r="71" spans="1:8" x14ac:dyDescent="0.2">
      <c r="A71">
        <v>45578</v>
      </c>
      <c r="B71" t="s">
        <v>102</v>
      </c>
      <c r="C71" t="s">
        <v>33</v>
      </c>
      <c r="D71" t="s">
        <v>62</v>
      </c>
      <c r="E71" t="s">
        <v>35</v>
      </c>
      <c r="F71">
        <v>10</v>
      </c>
      <c r="G71">
        <v>498.25</v>
      </c>
      <c r="H71" t="s">
        <v>43</v>
      </c>
    </row>
    <row r="72" spans="1:8" x14ac:dyDescent="0.2">
      <c r="A72">
        <v>45572</v>
      </c>
      <c r="B72" t="s">
        <v>103</v>
      </c>
      <c r="C72" t="s">
        <v>22</v>
      </c>
      <c r="D72" t="s">
        <v>10</v>
      </c>
      <c r="E72" t="s">
        <v>11</v>
      </c>
      <c r="F72">
        <v>8</v>
      </c>
      <c r="G72">
        <v>297.54000000000002</v>
      </c>
      <c r="H72" t="s">
        <v>12</v>
      </c>
    </row>
    <row r="73" spans="1:8" x14ac:dyDescent="0.2">
      <c r="A73">
        <v>45433</v>
      </c>
      <c r="B73" t="s">
        <v>104</v>
      </c>
      <c r="C73" t="s">
        <v>14</v>
      </c>
      <c r="D73" t="s">
        <v>47</v>
      </c>
      <c r="E73" t="s">
        <v>35</v>
      </c>
      <c r="F73">
        <v>4</v>
      </c>
      <c r="G73">
        <v>201.03</v>
      </c>
      <c r="H73" t="s">
        <v>12</v>
      </c>
    </row>
    <row r="74" spans="1:8" x14ac:dyDescent="0.2">
      <c r="A74">
        <v>45412</v>
      </c>
      <c r="B74" t="s">
        <v>105</v>
      </c>
      <c r="C74" t="s">
        <v>33</v>
      </c>
      <c r="D74" t="s">
        <v>59</v>
      </c>
      <c r="E74" t="s">
        <v>16</v>
      </c>
      <c r="F74">
        <v>9</v>
      </c>
      <c r="G74">
        <v>94.32</v>
      </c>
      <c r="H74" t="s">
        <v>12</v>
      </c>
    </row>
    <row r="75" spans="1:8" x14ac:dyDescent="0.2">
      <c r="A75">
        <v>45370</v>
      </c>
      <c r="B75" t="s">
        <v>106</v>
      </c>
      <c r="C75" t="s">
        <v>22</v>
      </c>
      <c r="D75" t="s">
        <v>34</v>
      </c>
      <c r="E75" t="s">
        <v>35</v>
      </c>
      <c r="F75">
        <v>7</v>
      </c>
      <c r="G75">
        <v>274.18</v>
      </c>
      <c r="H75" t="s">
        <v>43</v>
      </c>
    </row>
    <row r="76" spans="1:8" x14ac:dyDescent="0.2">
      <c r="A76">
        <v>45323</v>
      </c>
      <c r="B76" t="s">
        <v>107</v>
      </c>
      <c r="C76" t="s">
        <v>27</v>
      </c>
      <c r="D76" t="s">
        <v>25</v>
      </c>
      <c r="E76" t="s">
        <v>16</v>
      </c>
      <c r="F76">
        <v>10</v>
      </c>
      <c r="G76">
        <v>570.33000000000004</v>
      </c>
      <c r="H76" t="s">
        <v>12</v>
      </c>
    </row>
    <row r="77" spans="1:8" x14ac:dyDescent="0.2">
      <c r="A77">
        <v>45586</v>
      </c>
      <c r="B77" t="s">
        <v>73</v>
      </c>
      <c r="C77" t="s">
        <v>27</v>
      </c>
      <c r="D77" t="s">
        <v>52</v>
      </c>
      <c r="E77" t="s">
        <v>35</v>
      </c>
      <c r="F77">
        <v>6</v>
      </c>
      <c r="G77">
        <v>214.24</v>
      </c>
      <c r="H77" t="s">
        <v>20</v>
      </c>
    </row>
    <row r="78" spans="1:8" x14ac:dyDescent="0.2">
      <c r="A78">
        <v>45506</v>
      </c>
      <c r="B78" t="s">
        <v>45</v>
      </c>
      <c r="C78" t="s">
        <v>14</v>
      </c>
      <c r="D78" t="s">
        <v>49</v>
      </c>
      <c r="E78" t="s">
        <v>50</v>
      </c>
      <c r="F78">
        <v>4</v>
      </c>
      <c r="G78">
        <v>318.52999999999997</v>
      </c>
      <c r="H78" t="s">
        <v>20</v>
      </c>
    </row>
    <row r="79" spans="1:8" x14ac:dyDescent="0.2">
      <c r="A79">
        <v>45306</v>
      </c>
      <c r="B79" t="s">
        <v>108</v>
      </c>
      <c r="C79" t="s">
        <v>33</v>
      </c>
      <c r="D79" t="s">
        <v>97</v>
      </c>
      <c r="E79" t="s">
        <v>16</v>
      </c>
      <c r="F79">
        <v>7</v>
      </c>
      <c r="G79">
        <v>448.3</v>
      </c>
      <c r="H79" t="s">
        <v>20</v>
      </c>
    </row>
    <row r="80" spans="1:8" x14ac:dyDescent="0.2">
      <c r="A80">
        <v>45610</v>
      </c>
      <c r="B80" t="s">
        <v>109</v>
      </c>
      <c r="C80" t="s">
        <v>9</v>
      </c>
      <c r="D80" t="s">
        <v>25</v>
      </c>
      <c r="E80" t="s">
        <v>29</v>
      </c>
      <c r="F80">
        <v>10</v>
      </c>
      <c r="G80">
        <v>360.42</v>
      </c>
      <c r="H80" t="s">
        <v>12</v>
      </c>
    </row>
    <row r="81" spans="1:8" x14ac:dyDescent="0.2">
      <c r="A81">
        <v>45511</v>
      </c>
      <c r="B81" t="s">
        <v>83</v>
      </c>
      <c r="C81" t="s">
        <v>27</v>
      </c>
      <c r="D81" t="s">
        <v>88</v>
      </c>
      <c r="E81" t="s">
        <v>19</v>
      </c>
      <c r="F81">
        <v>1</v>
      </c>
      <c r="G81">
        <v>193.09</v>
      </c>
      <c r="H81" t="s">
        <v>20</v>
      </c>
    </row>
    <row r="82" spans="1:8" x14ac:dyDescent="0.2">
      <c r="A82">
        <v>45459</v>
      </c>
      <c r="B82" t="s">
        <v>110</v>
      </c>
      <c r="C82" t="s">
        <v>27</v>
      </c>
      <c r="D82" t="s">
        <v>42</v>
      </c>
      <c r="E82" t="s">
        <v>16</v>
      </c>
      <c r="F82">
        <v>7</v>
      </c>
      <c r="G82">
        <v>188.75</v>
      </c>
      <c r="H82" t="s">
        <v>12</v>
      </c>
    </row>
    <row r="83" spans="1:8" x14ac:dyDescent="0.2">
      <c r="A83">
        <v>45568</v>
      </c>
      <c r="B83" t="s">
        <v>111</v>
      </c>
      <c r="C83" t="s">
        <v>33</v>
      </c>
      <c r="D83" t="s">
        <v>40</v>
      </c>
      <c r="E83" t="s">
        <v>29</v>
      </c>
      <c r="F83">
        <v>2</v>
      </c>
      <c r="G83">
        <v>479.68</v>
      </c>
      <c r="H83" t="s">
        <v>43</v>
      </c>
    </row>
    <row r="84" spans="1:8" x14ac:dyDescent="0.2">
      <c r="A84">
        <v>45307</v>
      </c>
      <c r="B84" t="s">
        <v>112</v>
      </c>
      <c r="C84" t="s">
        <v>22</v>
      </c>
      <c r="D84" t="s">
        <v>52</v>
      </c>
      <c r="E84" t="s">
        <v>35</v>
      </c>
      <c r="F84">
        <v>10</v>
      </c>
      <c r="G84">
        <v>133.81</v>
      </c>
      <c r="H84" t="s">
        <v>12</v>
      </c>
    </row>
    <row r="85" spans="1:8" x14ac:dyDescent="0.2">
      <c r="A85">
        <v>45350</v>
      </c>
      <c r="B85" t="s">
        <v>113</v>
      </c>
      <c r="C85" t="s">
        <v>22</v>
      </c>
      <c r="D85" t="s">
        <v>62</v>
      </c>
      <c r="E85" t="s">
        <v>35</v>
      </c>
      <c r="F85">
        <v>5</v>
      </c>
      <c r="G85">
        <v>471.79</v>
      </c>
      <c r="H85" t="s">
        <v>12</v>
      </c>
    </row>
    <row r="86" spans="1:8" x14ac:dyDescent="0.2">
      <c r="A86">
        <v>45350</v>
      </c>
      <c r="B86" t="s">
        <v>100</v>
      </c>
      <c r="C86" t="s">
        <v>22</v>
      </c>
      <c r="D86" t="s">
        <v>54</v>
      </c>
      <c r="E86" t="s">
        <v>16</v>
      </c>
      <c r="F86">
        <v>2</v>
      </c>
      <c r="G86">
        <v>368.28</v>
      </c>
      <c r="H86" t="s">
        <v>20</v>
      </c>
    </row>
    <row r="87" spans="1:8" x14ac:dyDescent="0.2">
      <c r="A87">
        <v>45484</v>
      </c>
      <c r="B87" t="s">
        <v>114</v>
      </c>
      <c r="C87" t="s">
        <v>22</v>
      </c>
      <c r="D87" t="s">
        <v>34</v>
      </c>
      <c r="E87" t="s">
        <v>35</v>
      </c>
      <c r="F87">
        <v>10</v>
      </c>
      <c r="G87">
        <v>429.84</v>
      </c>
      <c r="H87" t="s">
        <v>43</v>
      </c>
    </row>
    <row r="88" spans="1:8" x14ac:dyDescent="0.2">
      <c r="A88">
        <v>45446</v>
      </c>
      <c r="B88" t="s">
        <v>115</v>
      </c>
      <c r="C88" t="s">
        <v>14</v>
      </c>
      <c r="D88" t="s">
        <v>68</v>
      </c>
      <c r="E88" t="s">
        <v>35</v>
      </c>
      <c r="F88">
        <v>10</v>
      </c>
      <c r="G88">
        <v>480.45</v>
      </c>
      <c r="H88" t="s">
        <v>20</v>
      </c>
    </row>
    <row r="89" spans="1:8" x14ac:dyDescent="0.2">
      <c r="A89">
        <v>45481</v>
      </c>
      <c r="B89" t="s">
        <v>116</v>
      </c>
      <c r="C89" t="s">
        <v>14</v>
      </c>
      <c r="D89" t="s">
        <v>71</v>
      </c>
      <c r="E89" t="s">
        <v>16</v>
      </c>
      <c r="F89">
        <v>6</v>
      </c>
      <c r="G89">
        <v>56.96</v>
      </c>
      <c r="H89" t="s">
        <v>20</v>
      </c>
    </row>
    <row r="90" spans="1:8" x14ac:dyDescent="0.2">
      <c r="A90">
        <v>45346</v>
      </c>
      <c r="B90" t="s">
        <v>95</v>
      </c>
      <c r="C90" t="s">
        <v>33</v>
      </c>
      <c r="D90" t="s">
        <v>71</v>
      </c>
      <c r="E90" t="s">
        <v>16</v>
      </c>
      <c r="F90">
        <v>8</v>
      </c>
      <c r="G90">
        <v>439.02</v>
      </c>
      <c r="H90" t="s">
        <v>20</v>
      </c>
    </row>
    <row r="91" spans="1:8" x14ac:dyDescent="0.2">
      <c r="A91">
        <v>45559</v>
      </c>
      <c r="B91" t="s">
        <v>117</v>
      </c>
      <c r="C91" t="s">
        <v>33</v>
      </c>
      <c r="D91" t="s">
        <v>49</v>
      </c>
      <c r="E91" t="s">
        <v>50</v>
      </c>
      <c r="F91">
        <v>9</v>
      </c>
      <c r="G91">
        <v>476.05</v>
      </c>
      <c r="H91" t="s">
        <v>20</v>
      </c>
    </row>
    <row r="92" spans="1:8" x14ac:dyDescent="0.2">
      <c r="A92">
        <v>45595</v>
      </c>
      <c r="B92" t="s">
        <v>89</v>
      </c>
      <c r="C92" t="s">
        <v>33</v>
      </c>
      <c r="D92" t="s">
        <v>40</v>
      </c>
      <c r="E92" t="s">
        <v>16</v>
      </c>
      <c r="F92">
        <v>2</v>
      </c>
      <c r="G92">
        <v>203.41</v>
      </c>
      <c r="H92" t="s">
        <v>20</v>
      </c>
    </row>
    <row r="93" spans="1:8" x14ac:dyDescent="0.2">
      <c r="A93">
        <v>45529</v>
      </c>
      <c r="B93" t="s">
        <v>118</v>
      </c>
      <c r="C93" t="s">
        <v>14</v>
      </c>
      <c r="D93" t="s">
        <v>97</v>
      </c>
      <c r="E93" t="s">
        <v>16</v>
      </c>
      <c r="F93">
        <v>7</v>
      </c>
      <c r="G93">
        <v>235.02</v>
      </c>
      <c r="H93" t="s">
        <v>20</v>
      </c>
    </row>
    <row r="94" spans="1:8" x14ac:dyDescent="0.2">
      <c r="A94">
        <v>45385</v>
      </c>
      <c r="B94" t="s">
        <v>119</v>
      </c>
      <c r="C94" t="s">
        <v>22</v>
      </c>
      <c r="D94" t="s">
        <v>31</v>
      </c>
      <c r="E94" t="s">
        <v>16</v>
      </c>
      <c r="F94">
        <v>5</v>
      </c>
      <c r="G94">
        <v>237.19</v>
      </c>
      <c r="H94" t="s">
        <v>43</v>
      </c>
    </row>
    <row r="95" spans="1:8" x14ac:dyDescent="0.2">
      <c r="A95">
        <v>45433</v>
      </c>
      <c r="B95" t="s">
        <v>101</v>
      </c>
      <c r="C95" t="s">
        <v>9</v>
      </c>
      <c r="D95" t="s">
        <v>56</v>
      </c>
      <c r="E95" t="s">
        <v>38</v>
      </c>
      <c r="F95">
        <v>4</v>
      </c>
      <c r="G95">
        <v>97.09</v>
      </c>
      <c r="H95" t="s">
        <v>43</v>
      </c>
    </row>
    <row r="96" spans="1:8" x14ac:dyDescent="0.2">
      <c r="A96">
        <v>45576</v>
      </c>
      <c r="B96" t="s">
        <v>21</v>
      </c>
      <c r="C96" t="s">
        <v>22</v>
      </c>
      <c r="D96" t="s">
        <v>23</v>
      </c>
      <c r="E96" t="s">
        <v>11</v>
      </c>
      <c r="F96">
        <v>8</v>
      </c>
      <c r="G96">
        <v>405.25</v>
      </c>
      <c r="H96" t="s">
        <v>20</v>
      </c>
    </row>
    <row r="97" spans="1:8" x14ac:dyDescent="0.2">
      <c r="A97">
        <v>45300</v>
      </c>
      <c r="B97" t="s">
        <v>85</v>
      </c>
      <c r="C97" t="s">
        <v>33</v>
      </c>
      <c r="D97" t="s">
        <v>40</v>
      </c>
      <c r="E97" t="s">
        <v>16</v>
      </c>
      <c r="F97">
        <v>7</v>
      </c>
      <c r="G97">
        <v>430.48</v>
      </c>
      <c r="H97" t="s">
        <v>20</v>
      </c>
    </row>
    <row r="98" spans="1:8" x14ac:dyDescent="0.2">
      <c r="A98">
        <v>45480</v>
      </c>
      <c r="B98" t="s">
        <v>96</v>
      </c>
      <c r="C98" t="s">
        <v>14</v>
      </c>
      <c r="D98" t="s">
        <v>56</v>
      </c>
      <c r="E98" t="s">
        <v>38</v>
      </c>
      <c r="F98">
        <v>6</v>
      </c>
      <c r="G98">
        <v>284.02999999999997</v>
      </c>
      <c r="H98" t="s">
        <v>43</v>
      </c>
    </row>
    <row r="99" spans="1:8" x14ac:dyDescent="0.2">
      <c r="A99">
        <v>45472</v>
      </c>
      <c r="B99" t="s">
        <v>120</v>
      </c>
      <c r="C99" t="s">
        <v>27</v>
      </c>
      <c r="D99" t="s">
        <v>42</v>
      </c>
      <c r="E99" t="s">
        <v>16</v>
      </c>
      <c r="F99">
        <v>5</v>
      </c>
      <c r="G99">
        <v>188.27</v>
      </c>
      <c r="H99" t="s">
        <v>12</v>
      </c>
    </row>
    <row r="100" spans="1:8" x14ac:dyDescent="0.2">
      <c r="A100">
        <v>45453</v>
      </c>
      <c r="B100" t="s">
        <v>121</v>
      </c>
      <c r="C100" t="s">
        <v>14</v>
      </c>
      <c r="D100" t="s">
        <v>23</v>
      </c>
      <c r="E100" t="s">
        <v>11</v>
      </c>
      <c r="F100">
        <v>3</v>
      </c>
      <c r="G100">
        <v>155.35</v>
      </c>
      <c r="H100" t="s">
        <v>43</v>
      </c>
    </row>
    <row r="101" spans="1:8" x14ac:dyDescent="0.2">
      <c r="A101">
        <v>45593</v>
      </c>
      <c r="B101" t="s">
        <v>21</v>
      </c>
      <c r="C101" t="s">
        <v>14</v>
      </c>
      <c r="D101" t="s">
        <v>49</v>
      </c>
      <c r="E101" t="s">
        <v>50</v>
      </c>
      <c r="F101">
        <v>5</v>
      </c>
      <c r="G101">
        <v>589.28</v>
      </c>
      <c r="H101" t="s">
        <v>12</v>
      </c>
    </row>
    <row r="102" spans="1:8" x14ac:dyDescent="0.2">
      <c r="A102">
        <v>45476</v>
      </c>
      <c r="B102" t="s">
        <v>122</v>
      </c>
      <c r="C102" t="s">
        <v>33</v>
      </c>
      <c r="D102" t="s">
        <v>52</v>
      </c>
      <c r="E102" t="s">
        <v>35</v>
      </c>
      <c r="F102">
        <v>9</v>
      </c>
      <c r="G102">
        <v>119.62</v>
      </c>
      <c r="H102" t="s">
        <v>12</v>
      </c>
    </row>
    <row r="103" spans="1:8" x14ac:dyDescent="0.2">
      <c r="A103">
        <v>45575</v>
      </c>
      <c r="B103" t="s">
        <v>123</v>
      </c>
      <c r="C103" t="s">
        <v>22</v>
      </c>
      <c r="D103" t="s">
        <v>71</v>
      </c>
      <c r="E103" t="s">
        <v>16</v>
      </c>
      <c r="F103">
        <v>8</v>
      </c>
      <c r="G103">
        <v>106.42</v>
      </c>
      <c r="H103" t="s">
        <v>12</v>
      </c>
    </row>
    <row r="104" spans="1:8" x14ac:dyDescent="0.2">
      <c r="A104">
        <v>45532</v>
      </c>
      <c r="B104" t="s">
        <v>124</v>
      </c>
      <c r="C104" t="s">
        <v>27</v>
      </c>
      <c r="D104" t="s">
        <v>59</v>
      </c>
      <c r="E104" t="s">
        <v>16</v>
      </c>
      <c r="F104">
        <v>3</v>
      </c>
      <c r="G104">
        <v>581.02</v>
      </c>
      <c r="H104" t="s">
        <v>20</v>
      </c>
    </row>
    <row r="105" spans="1:8" x14ac:dyDescent="0.2">
      <c r="A105">
        <v>45536</v>
      </c>
      <c r="B105" t="s">
        <v>92</v>
      </c>
      <c r="C105" t="s">
        <v>9</v>
      </c>
      <c r="D105" t="s">
        <v>25</v>
      </c>
      <c r="E105" t="s">
        <v>16</v>
      </c>
      <c r="F105">
        <v>8</v>
      </c>
      <c r="G105">
        <v>90.75</v>
      </c>
      <c r="H105" t="s">
        <v>43</v>
      </c>
    </row>
    <row r="106" spans="1:8" x14ac:dyDescent="0.2">
      <c r="A106">
        <v>45369</v>
      </c>
      <c r="B106" t="s">
        <v>125</v>
      </c>
      <c r="C106" t="s">
        <v>14</v>
      </c>
      <c r="D106" t="s">
        <v>54</v>
      </c>
      <c r="E106" t="s">
        <v>16</v>
      </c>
      <c r="F106">
        <v>2</v>
      </c>
      <c r="G106">
        <v>596.65</v>
      </c>
      <c r="H106" t="s">
        <v>12</v>
      </c>
    </row>
    <row r="107" spans="1:8" x14ac:dyDescent="0.2">
      <c r="A107">
        <v>45505</v>
      </c>
      <c r="B107" t="s">
        <v>37</v>
      </c>
      <c r="C107" t="s">
        <v>14</v>
      </c>
      <c r="D107" t="s">
        <v>49</v>
      </c>
      <c r="E107" t="s">
        <v>50</v>
      </c>
      <c r="F107">
        <v>4</v>
      </c>
      <c r="G107">
        <v>476.63</v>
      </c>
      <c r="H107" t="s">
        <v>20</v>
      </c>
    </row>
    <row r="108" spans="1:8" x14ac:dyDescent="0.2">
      <c r="A108">
        <v>45518</v>
      </c>
      <c r="B108" t="s">
        <v>126</v>
      </c>
      <c r="C108" t="s">
        <v>14</v>
      </c>
      <c r="D108" t="s">
        <v>15</v>
      </c>
      <c r="E108" t="s">
        <v>16</v>
      </c>
      <c r="F108">
        <v>5</v>
      </c>
      <c r="G108">
        <v>362.75</v>
      </c>
      <c r="H108" t="s">
        <v>12</v>
      </c>
    </row>
    <row r="109" spans="1:8" x14ac:dyDescent="0.2">
      <c r="A109">
        <v>45342</v>
      </c>
      <c r="B109" t="s">
        <v>127</v>
      </c>
      <c r="C109" t="s">
        <v>22</v>
      </c>
      <c r="D109" t="s">
        <v>71</v>
      </c>
      <c r="E109" t="s">
        <v>16</v>
      </c>
      <c r="F109">
        <v>4</v>
      </c>
      <c r="G109">
        <v>195.56</v>
      </c>
      <c r="H109" t="s">
        <v>12</v>
      </c>
    </row>
    <row r="110" spans="1:8" x14ac:dyDescent="0.2">
      <c r="A110">
        <v>45380</v>
      </c>
      <c r="B110" t="s">
        <v>128</v>
      </c>
      <c r="C110" t="s">
        <v>9</v>
      </c>
      <c r="D110" t="s">
        <v>88</v>
      </c>
      <c r="E110" t="s">
        <v>19</v>
      </c>
      <c r="F110">
        <v>1</v>
      </c>
      <c r="G110">
        <v>274.68</v>
      </c>
      <c r="H110" t="s">
        <v>43</v>
      </c>
    </row>
    <row r="111" spans="1:8" x14ac:dyDescent="0.2">
      <c r="A111">
        <v>45441</v>
      </c>
      <c r="B111" t="s">
        <v>129</v>
      </c>
      <c r="C111" t="s">
        <v>22</v>
      </c>
      <c r="D111" t="s">
        <v>54</v>
      </c>
      <c r="E111" t="s">
        <v>29</v>
      </c>
      <c r="F111">
        <v>5</v>
      </c>
      <c r="G111">
        <v>436.64</v>
      </c>
      <c r="H111" t="s">
        <v>20</v>
      </c>
    </row>
    <row r="112" spans="1:8" x14ac:dyDescent="0.2">
      <c r="A112">
        <v>45411</v>
      </c>
      <c r="B112" t="s">
        <v>81</v>
      </c>
      <c r="C112" t="s">
        <v>14</v>
      </c>
      <c r="D112" t="s">
        <v>97</v>
      </c>
      <c r="E112" t="s">
        <v>16</v>
      </c>
      <c r="F112">
        <v>4</v>
      </c>
      <c r="G112">
        <v>283.83</v>
      </c>
      <c r="H112" t="s">
        <v>43</v>
      </c>
    </row>
    <row r="113" spans="1:8" x14ac:dyDescent="0.2">
      <c r="A113">
        <v>45368</v>
      </c>
      <c r="B113" t="s">
        <v>89</v>
      </c>
      <c r="C113" t="s">
        <v>22</v>
      </c>
      <c r="D113" t="s">
        <v>34</v>
      </c>
      <c r="E113" t="s">
        <v>35</v>
      </c>
      <c r="F113">
        <v>1</v>
      </c>
      <c r="G113">
        <v>141.26</v>
      </c>
      <c r="H113" t="s">
        <v>20</v>
      </c>
    </row>
    <row r="114" spans="1:8" x14ac:dyDescent="0.2">
      <c r="A114">
        <v>45583</v>
      </c>
      <c r="B114" t="s">
        <v>130</v>
      </c>
      <c r="C114" t="s">
        <v>27</v>
      </c>
      <c r="D114" t="s">
        <v>68</v>
      </c>
      <c r="E114" t="s">
        <v>35</v>
      </c>
      <c r="F114">
        <v>8</v>
      </c>
      <c r="G114">
        <v>428.77</v>
      </c>
      <c r="H114" t="s">
        <v>43</v>
      </c>
    </row>
    <row r="115" spans="1:8" x14ac:dyDescent="0.2">
      <c r="A115">
        <v>45431</v>
      </c>
      <c r="B115" t="s">
        <v>55</v>
      </c>
      <c r="C115" t="s">
        <v>14</v>
      </c>
      <c r="D115" t="s">
        <v>47</v>
      </c>
      <c r="E115" t="s">
        <v>35</v>
      </c>
      <c r="F115">
        <v>8</v>
      </c>
      <c r="G115">
        <v>94.24</v>
      </c>
      <c r="H115" t="s">
        <v>12</v>
      </c>
    </row>
    <row r="116" spans="1:8" x14ac:dyDescent="0.2">
      <c r="A116">
        <v>45457</v>
      </c>
      <c r="B116" t="s">
        <v>131</v>
      </c>
      <c r="C116" t="s">
        <v>33</v>
      </c>
      <c r="D116" t="s">
        <v>52</v>
      </c>
      <c r="E116" t="s">
        <v>35</v>
      </c>
      <c r="F116">
        <v>2</v>
      </c>
      <c r="G116">
        <v>175.91</v>
      </c>
      <c r="H116" t="s">
        <v>43</v>
      </c>
    </row>
    <row r="117" spans="1:8" x14ac:dyDescent="0.2">
      <c r="A117">
        <v>45586</v>
      </c>
      <c r="B117" t="s">
        <v>132</v>
      </c>
      <c r="C117" t="s">
        <v>9</v>
      </c>
      <c r="D117" t="s">
        <v>97</v>
      </c>
      <c r="E117" t="s">
        <v>16</v>
      </c>
      <c r="F117">
        <v>5</v>
      </c>
      <c r="G117">
        <v>366.94</v>
      </c>
      <c r="H117" t="s">
        <v>12</v>
      </c>
    </row>
    <row r="118" spans="1:8" x14ac:dyDescent="0.2">
      <c r="A118">
        <v>45518</v>
      </c>
      <c r="B118" t="s">
        <v>133</v>
      </c>
      <c r="C118" t="s">
        <v>22</v>
      </c>
      <c r="D118" t="s">
        <v>78</v>
      </c>
      <c r="E118" t="s">
        <v>50</v>
      </c>
      <c r="F118">
        <v>7</v>
      </c>
      <c r="G118">
        <v>399.13</v>
      </c>
      <c r="H118" t="s">
        <v>20</v>
      </c>
    </row>
    <row r="119" spans="1:8" x14ac:dyDescent="0.2">
      <c r="A119">
        <v>45532</v>
      </c>
      <c r="B119" t="s">
        <v>134</v>
      </c>
      <c r="C119" t="s">
        <v>27</v>
      </c>
      <c r="D119" t="s">
        <v>59</v>
      </c>
      <c r="E119" t="s">
        <v>16</v>
      </c>
      <c r="F119">
        <v>6</v>
      </c>
      <c r="G119">
        <v>418.57</v>
      </c>
      <c r="H119" t="s">
        <v>12</v>
      </c>
    </row>
    <row r="120" spans="1:8" x14ac:dyDescent="0.2">
      <c r="A120">
        <v>45545</v>
      </c>
      <c r="B120" t="s">
        <v>130</v>
      </c>
      <c r="C120" t="s">
        <v>27</v>
      </c>
      <c r="D120" t="s">
        <v>28</v>
      </c>
      <c r="E120" t="s">
        <v>38</v>
      </c>
      <c r="F120">
        <v>1</v>
      </c>
      <c r="G120">
        <v>300.14999999999998</v>
      </c>
      <c r="H120" t="s">
        <v>20</v>
      </c>
    </row>
    <row r="121" spans="1:8" x14ac:dyDescent="0.2">
      <c r="A121">
        <v>45351</v>
      </c>
      <c r="B121" t="s">
        <v>32</v>
      </c>
      <c r="C121" t="s">
        <v>27</v>
      </c>
      <c r="D121" t="s">
        <v>56</v>
      </c>
      <c r="E121" t="s">
        <v>38</v>
      </c>
      <c r="F121">
        <v>1</v>
      </c>
      <c r="G121">
        <v>411.71</v>
      </c>
      <c r="H121" t="s">
        <v>43</v>
      </c>
    </row>
    <row r="122" spans="1:8" x14ac:dyDescent="0.2">
      <c r="A122">
        <v>45319</v>
      </c>
      <c r="B122" t="s">
        <v>135</v>
      </c>
      <c r="C122" t="s">
        <v>14</v>
      </c>
      <c r="D122" t="s">
        <v>31</v>
      </c>
      <c r="E122" t="s">
        <v>16</v>
      </c>
      <c r="F122">
        <v>10</v>
      </c>
      <c r="G122">
        <v>466.04</v>
      </c>
      <c r="H122" t="s">
        <v>43</v>
      </c>
    </row>
    <row r="123" spans="1:8" x14ac:dyDescent="0.2">
      <c r="A123">
        <v>45318</v>
      </c>
      <c r="B123" t="s">
        <v>107</v>
      </c>
      <c r="C123" t="s">
        <v>33</v>
      </c>
      <c r="D123" t="s">
        <v>28</v>
      </c>
      <c r="E123" t="s">
        <v>38</v>
      </c>
      <c r="F123">
        <v>3</v>
      </c>
      <c r="G123">
        <v>560.22</v>
      </c>
      <c r="H123" t="s">
        <v>20</v>
      </c>
    </row>
    <row r="124" spans="1:8" x14ac:dyDescent="0.2">
      <c r="A124">
        <v>45540</v>
      </c>
      <c r="B124" t="s">
        <v>136</v>
      </c>
      <c r="C124" t="s">
        <v>9</v>
      </c>
      <c r="D124" t="s">
        <v>71</v>
      </c>
      <c r="E124" t="s">
        <v>16</v>
      </c>
      <c r="F124">
        <v>10</v>
      </c>
      <c r="G124">
        <v>489.62</v>
      </c>
      <c r="H124" t="s">
        <v>43</v>
      </c>
    </row>
    <row r="125" spans="1:8" x14ac:dyDescent="0.2">
      <c r="A125">
        <v>45574</v>
      </c>
      <c r="B125" t="s">
        <v>137</v>
      </c>
      <c r="C125" t="s">
        <v>14</v>
      </c>
      <c r="D125" t="s">
        <v>15</v>
      </c>
      <c r="E125" t="s">
        <v>16</v>
      </c>
      <c r="F125">
        <v>2</v>
      </c>
      <c r="G125">
        <v>173.59</v>
      </c>
      <c r="H125" t="s">
        <v>12</v>
      </c>
    </row>
    <row r="126" spans="1:8" x14ac:dyDescent="0.2">
      <c r="A126">
        <v>45352</v>
      </c>
      <c r="B126" t="s">
        <v>138</v>
      </c>
      <c r="C126" t="s">
        <v>22</v>
      </c>
      <c r="D126" t="s">
        <v>47</v>
      </c>
      <c r="E126" t="s">
        <v>35</v>
      </c>
      <c r="F126">
        <v>5</v>
      </c>
      <c r="G126">
        <v>329.88</v>
      </c>
      <c r="H126" t="s">
        <v>20</v>
      </c>
    </row>
    <row r="127" spans="1:8" x14ac:dyDescent="0.2">
      <c r="A127">
        <v>45539</v>
      </c>
      <c r="B127" t="s">
        <v>139</v>
      </c>
      <c r="C127" t="s">
        <v>22</v>
      </c>
      <c r="D127" t="s">
        <v>62</v>
      </c>
      <c r="E127" t="s">
        <v>35</v>
      </c>
      <c r="F127">
        <v>9</v>
      </c>
      <c r="G127">
        <v>129.55000000000001</v>
      </c>
      <c r="H127" t="s">
        <v>12</v>
      </c>
    </row>
    <row r="128" spans="1:8" x14ac:dyDescent="0.2">
      <c r="A128">
        <v>45552</v>
      </c>
      <c r="B128" t="s">
        <v>140</v>
      </c>
      <c r="C128" t="s">
        <v>22</v>
      </c>
      <c r="D128" t="s">
        <v>34</v>
      </c>
      <c r="E128" t="s">
        <v>35</v>
      </c>
      <c r="F128">
        <v>5</v>
      </c>
      <c r="G128">
        <v>474.97</v>
      </c>
      <c r="H128" t="s">
        <v>20</v>
      </c>
    </row>
    <row r="129" spans="1:8" x14ac:dyDescent="0.2">
      <c r="A129">
        <v>45551</v>
      </c>
      <c r="B129" t="s">
        <v>89</v>
      </c>
      <c r="C129" t="s">
        <v>9</v>
      </c>
      <c r="D129" t="s">
        <v>54</v>
      </c>
      <c r="E129" t="s">
        <v>16</v>
      </c>
      <c r="F129">
        <v>5</v>
      </c>
      <c r="G129">
        <v>510.61</v>
      </c>
      <c r="H129" t="s">
        <v>43</v>
      </c>
    </row>
    <row r="130" spans="1:8" x14ac:dyDescent="0.2">
      <c r="A130">
        <v>45542</v>
      </c>
      <c r="B130" t="s">
        <v>125</v>
      </c>
      <c r="C130" t="s">
        <v>27</v>
      </c>
      <c r="D130" t="s">
        <v>28</v>
      </c>
      <c r="E130" t="s">
        <v>38</v>
      </c>
      <c r="F130">
        <v>8</v>
      </c>
      <c r="G130">
        <v>239.82</v>
      </c>
      <c r="H130" t="s">
        <v>43</v>
      </c>
    </row>
    <row r="131" spans="1:8" x14ac:dyDescent="0.2">
      <c r="A131">
        <v>45485</v>
      </c>
      <c r="B131" t="s">
        <v>141</v>
      </c>
      <c r="C131" t="s">
        <v>33</v>
      </c>
      <c r="D131" t="s">
        <v>18</v>
      </c>
      <c r="E131" t="s">
        <v>19</v>
      </c>
      <c r="F131">
        <v>4</v>
      </c>
      <c r="G131">
        <v>364.49</v>
      </c>
      <c r="H131" t="s">
        <v>12</v>
      </c>
    </row>
    <row r="132" spans="1:8" x14ac:dyDescent="0.2">
      <c r="A132">
        <v>45502</v>
      </c>
      <c r="B132" t="s">
        <v>142</v>
      </c>
      <c r="C132" t="s">
        <v>33</v>
      </c>
      <c r="D132" t="s">
        <v>10</v>
      </c>
      <c r="E132" t="s">
        <v>11</v>
      </c>
      <c r="F132">
        <v>8</v>
      </c>
      <c r="G132">
        <v>437.88</v>
      </c>
      <c r="H132" t="s">
        <v>20</v>
      </c>
    </row>
    <row r="133" spans="1:8" x14ac:dyDescent="0.2">
      <c r="A133">
        <v>45369</v>
      </c>
      <c r="B133" t="s">
        <v>99</v>
      </c>
      <c r="C133" t="s">
        <v>9</v>
      </c>
      <c r="D133" t="s">
        <v>57</v>
      </c>
      <c r="E133" t="s">
        <v>19</v>
      </c>
      <c r="F133">
        <v>9</v>
      </c>
      <c r="G133">
        <v>580.94000000000005</v>
      </c>
      <c r="H133" t="s">
        <v>20</v>
      </c>
    </row>
    <row r="134" spans="1:8" x14ac:dyDescent="0.2">
      <c r="A134">
        <v>45517</v>
      </c>
      <c r="B134" t="s">
        <v>70</v>
      </c>
      <c r="C134" t="s">
        <v>14</v>
      </c>
      <c r="D134" t="s">
        <v>62</v>
      </c>
      <c r="E134" t="s">
        <v>35</v>
      </c>
      <c r="F134">
        <v>1</v>
      </c>
      <c r="G134">
        <v>447.34</v>
      </c>
      <c r="H134" t="s">
        <v>20</v>
      </c>
    </row>
    <row r="135" spans="1:8" x14ac:dyDescent="0.2">
      <c r="A135">
        <v>45371</v>
      </c>
      <c r="B135" t="s">
        <v>143</v>
      </c>
      <c r="C135" t="s">
        <v>27</v>
      </c>
      <c r="D135" t="s">
        <v>42</v>
      </c>
      <c r="E135" t="s">
        <v>16</v>
      </c>
      <c r="F135">
        <v>6</v>
      </c>
      <c r="G135">
        <v>392.79</v>
      </c>
      <c r="H135" t="s">
        <v>20</v>
      </c>
    </row>
    <row r="136" spans="1:8" x14ac:dyDescent="0.2">
      <c r="A136">
        <v>45460</v>
      </c>
      <c r="B136" t="s">
        <v>144</v>
      </c>
      <c r="C136" t="s">
        <v>14</v>
      </c>
      <c r="D136" t="s">
        <v>25</v>
      </c>
      <c r="E136" t="s">
        <v>16</v>
      </c>
      <c r="F136">
        <v>6</v>
      </c>
      <c r="G136">
        <v>394.74</v>
      </c>
      <c r="H136" t="s">
        <v>20</v>
      </c>
    </row>
    <row r="137" spans="1:8" x14ac:dyDescent="0.2">
      <c r="A137">
        <v>45310</v>
      </c>
      <c r="B137" t="s">
        <v>145</v>
      </c>
      <c r="C137" t="s">
        <v>9</v>
      </c>
      <c r="D137" t="s">
        <v>40</v>
      </c>
      <c r="E137" t="s">
        <v>29</v>
      </c>
      <c r="F137">
        <v>5</v>
      </c>
      <c r="G137">
        <v>598.58000000000004</v>
      </c>
      <c r="H137" t="s">
        <v>43</v>
      </c>
    </row>
    <row r="138" spans="1:8" x14ac:dyDescent="0.2">
      <c r="A138">
        <v>45342</v>
      </c>
      <c r="B138" t="s">
        <v>21</v>
      </c>
      <c r="C138" t="s">
        <v>9</v>
      </c>
      <c r="D138" t="s">
        <v>62</v>
      </c>
      <c r="E138" t="s">
        <v>29</v>
      </c>
      <c r="F138">
        <v>3</v>
      </c>
      <c r="G138">
        <v>431.7</v>
      </c>
      <c r="H138" t="s">
        <v>12</v>
      </c>
    </row>
    <row r="139" spans="1:8" x14ac:dyDescent="0.2">
      <c r="A139">
        <v>45320</v>
      </c>
      <c r="B139" t="s">
        <v>146</v>
      </c>
      <c r="C139" t="s">
        <v>33</v>
      </c>
      <c r="D139" t="s">
        <v>31</v>
      </c>
      <c r="E139" t="s">
        <v>16</v>
      </c>
      <c r="F139">
        <v>7</v>
      </c>
      <c r="G139">
        <v>130.06</v>
      </c>
      <c r="H139" t="s">
        <v>43</v>
      </c>
    </row>
    <row r="140" spans="1:8" x14ac:dyDescent="0.2">
      <c r="A140">
        <v>45384</v>
      </c>
      <c r="B140" t="s">
        <v>147</v>
      </c>
      <c r="C140" t="s">
        <v>22</v>
      </c>
      <c r="D140" t="s">
        <v>34</v>
      </c>
      <c r="E140" t="s">
        <v>35</v>
      </c>
      <c r="F140">
        <v>10</v>
      </c>
      <c r="G140">
        <v>528.96</v>
      </c>
      <c r="H140" t="s">
        <v>43</v>
      </c>
    </row>
    <row r="141" spans="1:8" x14ac:dyDescent="0.2">
      <c r="A141">
        <v>45546</v>
      </c>
      <c r="B141" t="s">
        <v>148</v>
      </c>
      <c r="C141" t="s">
        <v>22</v>
      </c>
      <c r="D141" t="s">
        <v>40</v>
      </c>
      <c r="E141" t="s">
        <v>16</v>
      </c>
      <c r="F141">
        <v>8</v>
      </c>
      <c r="G141">
        <v>400.85</v>
      </c>
      <c r="H141" t="s">
        <v>20</v>
      </c>
    </row>
    <row r="142" spans="1:8" x14ac:dyDescent="0.2">
      <c r="A142">
        <v>45296</v>
      </c>
      <c r="B142" t="s">
        <v>149</v>
      </c>
      <c r="C142" t="s">
        <v>33</v>
      </c>
      <c r="D142" t="s">
        <v>97</v>
      </c>
      <c r="E142" t="s">
        <v>16</v>
      </c>
      <c r="F142">
        <v>9</v>
      </c>
      <c r="G142">
        <v>136.88999999999999</v>
      </c>
      <c r="H142" t="s">
        <v>20</v>
      </c>
    </row>
    <row r="143" spans="1:8" x14ac:dyDescent="0.2">
      <c r="A143">
        <v>45592</v>
      </c>
      <c r="B143" t="s">
        <v>126</v>
      </c>
      <c r="C143" t="s">
        <v>27</v>
      </c>
      <c r="D143" t="s">
        <v>23</v>
      </c>
      <c r="E143" t="s">
        <v>11</v>
      </c>
      <c r="F143">
        <v>5</v>
      </c>
      <c r="G143">
        <v>301.26</v>
      </c>
      <c r="H143" t="s">
        <v>20</v>
      </c>
    </row>
    <row r="144" spans="1:8" x14ac:dyDescent="0.2">
      <c r="A144">
        <v>45488</v>
      </c>
      <c r="B144" t="s">
        <v>150</v>
      </c>
      <c r="C144" t="s">
        <v>9</v>
      </c>
      <c r="D144" t="s">
        <v>40</v>
      </c>
      <c r="E144" t="s">
        <v>16</v>
      </c>
      <c r="F144">
        <v>7</v>
      </c>
      <c r="G144">
        <v>364.56</v>
      </c>
      <c r="H144" t="s">
        <v>43</v>
      </c>
    </row>
    <row r="145" spans="1:8" x14ac:dyDescent="0.2">
      <c r="A145">
        <v>45443</v>
      </c>
      <c r="B145" t="s">
        <v>63</v>
      </c>
      <c r="C145" t="s">
        <v>27</v>
      </c>
      <c r="D145" t="s">
        <v>42</v>
      </c>
      <c r="E145" t="s">
        <v>16</v>
      </c>
      <c r="F145">
        <v>1</v>
      </c>
      <c r="G145">
        <v>361.26</v>
      </c>
      <c r="H145" t="s">
        <v>43</v>
      </c>
    </row>
    <row r="146" spans="1:8" x14ac:dyDescent="0.2">
      <c r="A146">
        <v>45317</v>
      </c>
      <c r="B146" t="s">
        <v>37</v>
      </c>
      <c r="C146" t="s">
        <v>27</v>
      </c>
      <c r="D146" t="s">
        <v>54</v>
      </c>
      <c r="E146" t="s">
        <v>16</v>
      </c>
      <c r="F146">
        <v>4</v>
      </c>
      <c r="G146">
        <v>383.89</v>
      </c>
      <c r="H146" t="s">
        <v>20</v>
      </c>
    </row>
    <row r="147" spans="1:8" x14ac:dyDescent="0.2">
      <c r="A147">
        <v>45389</v>
      </c>
      <c r="B147" t="s">
        <v>145</v>
      </c>
      <c r="C147" t="s">
        <v>33</v>
      </c>
      <c r="D147" t="s">
        <v>97</v>
      </c>
      <c r="E147" t="s">
        <v>16</v>
      </c>
      <c r="F147">
        <v>3</v>
      </c>
      <c r="G147">
        <v>395.54</v>
      </c>
      <c r="H147" t="s">
        <v>43</v>
      </c>
    </row>
    <row r="148" spans="1:8" x14ac:dyDescent="0.2">
      <c r="A148">
        <v>45450</v>
      </c>
      <c r="B148" t="s">
        <v>151</v>
      </c>
      <c r="C148" t="s">
        <v>9</v>
      </c>
      <c r="D148" t="s">
        <v>78</v>
      </c>
      <c r="E148" t="s">
        <v>50</v>
      </c>
      <c r="F148">
        <v>6</v>
      </c>
      <c r="G148">
        <v>452.8</v>
      </c>
      <c r="H148" t="s">
        <v>12</v>
      </c>
    </row>
    <row r="149" spans="1:8" x14ac:dyDescent="0.2">
      <c r="A149">
        <v>45459</v>
      </c>
      <c r="B149" t="s">
        <v>140</v>
      </c>
      <c r="C149" t="s">
        <v>27</v>
      </c>
      <c r="D149" t="s">
        <v>88</v>
      </c>
      <c r="E149" t="s">
        <v>19</v>
      </c>
      <c r="F149">
        <v>4</v>
      </c>
      <c r="G149">
        <v>122.69</v>
      </c>
      <c r="H149" t="s">
        <v>43</v>
      </c>
    </row>
    <row r="150" spans="1:8" x14ac:dyDescent="0.2">
      <c r="A150">
        <v>45479</v>
      </c>
      <c r="B150" t="s">
        <v>152</v>
      </c>
      <c r="C150" t="s">
        <v>14</v>
      </c>
      <c r="D150" t="s">
        <v>42</v>
      </c>
      <c r="E150" t="s">
        <v>16</v>
      </c>
      <c r="F150">
        <v>3</v>
      </c>
      <c r="G150">
        <v>191.33</v>
      </c>
      <c r="H150" t="s">
        <v>20</v>
      </c>
    </row>
    <row r="151" spans="1:8" x14ac:dyDescent="0.2">
      <c r="A151">
        <v>45443</v>
      </c>
      <c r="B151" t="s">
        <v>140</v>
      </c>
      <c r="C151" t="s">
        <v>33</v>
      </c>
      <c r="D151" t="s">
        <v>68</v>
      </c>
      <c r="E151" t="s">
        <v>35</v>
      </c>
      <c r="F151">
        <v>8</v>
      </c>
      <c r="G151">
        <v>579.59</v>
      </c>
      <c r="H151" t="s">
        <v>12</v>
      </c>
    </row>
    <row r="152" spans="1:8" x14ac:dyDescent="0.2">
      <c r="A152">
        <v>45407</v>
      </c>
      <c r="B152" t="s">
        <v>153</v>
      </c>
      <c r="C152" t="s">
        <v>27</v>
      </c>
      <c r="D152" t="s">
        <v>28</v>
      </c>
      <c r="E152" t="s">
        <v>29</v>
      </c>
      <c r="F152">
        <v>6</v>
      </c>
      <c r="G152">
        <v>99.67</v>
      </c>
      <c r="H152" t="s">
        <v>20</v>
      </c>
    </row>
    <row r="153" spans="1:8" x14ac:dyDescent="0.2">
      <c r="A153">
        <v>45566</v>
      </c>
      <c r="B153" t="s">
        <v>136</v>
      </c>
      <c r="C153" t="s">
        <v>27</v>
      </c>
      <c r="D153" t="s">
        <v>31</v>
      </c>
      <c r="E153" t="s">
        <v>16</v>
      </c>
      <c r="F153">
        <v>5</v>
      </c>
      <c r="G153">
        <v>371.51</v>
      </c>
      <c r="H153" t="s">
        <v>43</v>
      </c>
    </row>
    <row r="154" spans="1:8" x14ac:dyDescent="0.2">
      <c r="A154">
        <v>45347</v>
      </c>
      <c r="B154" t="s">
        <v>144</v>
      </c>
      <c r="C154" t="s">
        <v>22</v>
      </c>
      <c r="D154" t="s">
        <v>47</v>
      </c>
      <c r="E154" t="s">
        <v>35</v>
      </c>
      <c r="F154">
        <v>1</v>
      </c>
      <c r="G154">
        <v>390.75</v>
      </c>
      <c r="H154" t="s">
        <v>43</v>
      </c>
    </row>
    <row r="155" spans="1:8" x14ac:dyDescent="0.2">
      <c r="A155">
        <v>45604</v>
      </c>
      <c r="B155" t="s">
        <v>154</v>
      </c>
      <c r="C155" t="s">
        <v>9</v>
      </c>
      <c r="D155" t="s">
        <v>71</v>
      </c>
      <c r="E155" t="s">
        <v>16</v>
      </c>
      <c r="F155">
        <v>8</v>
      </c>
      <c r="G155">
        <v>550.16</v>
      </c>
      <c r="H155" t="s">
        <v>20</v>
      </c>
    </row>
    <row r="156" spans="1:8" x14ac:dyDescent="0.2">
      <c r="A156">
        <v>45351</v>
      </c>
      <c r="B156" t="s">
        <v>46</v>
      </c>
      <c r="C156" t="s">
        <v>9</v>
      </c>
      <c r="D156" t="s">
        <v>75</v>
      </c>
      <c r="E156" t="s">
        <v>29</v>
      </c>
      <c r="F156">
        <v>5</v>
      </c>
      <c r="G156">
        <v>597.76</v>
      </c>
      <c r="H156" t="s">
        <v>12</v>
      </c>
    </row>
    <row r="157" spans="1:8" x14ac:dyDescent="0.2">
      <c r="A157">
        <v>45567</v>
      </c>
      <c r="B157" t="s">
        <v>83</v>
      </c>
      <c r="C157" t="s">
        <v>27</v>
      </c>
      <c r="D157" t="s">
        <v>62</v>
      </c>
      <c r="E157" t="s">
        <v>35</v>
      </c>
      <c r="F157">
        <v>6</v>
      </c>
      <c r="G157">
        <v>418.77</v>
      </c>
      <c r="H157" t="s">
        <v>43</v>
      </c>
    </row>
    <row r="158" spans="1:8" x14ac:dyDescent="0.2">
      <c r="A158">
        <v>45568</v>
      </c>
      <c r="B158" t="s">
        <v>155</v>
      </c>
      <c r="C158" t="s">
        <v>14</v>
      </c>
      <c r="D158" t="s">
        <v>10</v>
      </c>
      <c r="E158" t="s">
        <v>29</v>
      </c>
      <c r="F158">
        <v>3</v>
      </c>
      <c r="G158">
        <v>536.98</v>
      </c>
      <c r="H158" t="s">
        <v>43</v>
      </c>
    </row>
    <row r="159" spans="1:8" x14ac:dyDescent="0.2">
      <c r="A159">
        <v>45542</v>
      </c>
      <c r="B159" t="s">
        <v>94</v>
      </c>
      <c r="C159" t="s">
        <v>27</v>
      </c>
      <c r="D159" t="s">
        <v>42</v>
      </c>
      <c r="E159" t="s">
        <v>16</v>
      </c>
      <c r="F159">
        <v>1</v>
      </c>
      <c r="G159">
        <v>429.65</v>
      </c>
      <c r="H159" t="s">
        <v>12</v>
      </c>
    </row>
    <row r="160" spans="1:8" x14ac:dyDescent="0.2">
      <c r="A160">
        <v>45412</v>
      </c>
      <c r="B160" t="s">
        <v>156</v>
      </c>
      <c r="C160" t="s">
        <v>9</v>
      </c>
      <c r="D160" t="s">
        <v>97</v>
      </c>
      <c r="E160" t="s">
        <v>16</v>
      </c>
      <c r="F160">
        <v>6</v>
      </c>
      <c r="G160">
        <v>349.46</v>
      </c>
      <c r="H160" t="s">
        <v>43</v>
      </c>
    </row>
    <row r="161" spans="1:8" x14ac:dyDescent="0.2">
      <c r="A161">
        <v>45495</v>
      </c>
      <c r="B161" t="s">
        <v>157</v>
      </c>
      <c r="C161" t="s">
        <v>22</v>
      </c>
      <c r="D161" t="s">
        <v>68</v>
      </c>
      <c r="E161" t="s">
        <v>35</v>
      </c>
      <c r="F161">
        <v>8</v>
      </c>
      <c r="G161">
        <v>100.42</v>
      </c>
      <c r="H161" t="s">
        <v>12</v>
      </c>
    </row>
    <row r="162" spans="1:8" x14ac:dyDescent="0.2">
      <c r="A162">
        <v>45597</v>
      </c>
      <c r="B162" t="s">
        <v>63</v>
      </c>
      <c r="C162" t="s">
        <v>9</v>
      </c>
      <c r="D162" t="s">
        <v>59</v>
      </c>
      <c r="E162" t="s">
        <v>16</v>
      </c>
      <c r="F162">
        <v>4</v>
      </c>
      <c r="G162">
        <v>593.85</v>
      </c>
      <c r="H162" t="s">
        <v>43</v>
      </c>
    </row>
    <row r="163" spans="1:8" x14ac:dyDescent="0.2">
      <c r="A163">
        <v>45575</v>
      </c>
      <c r="B163" t="s">
        <v>84</v>
      </c>
      <c r="C163" t="s">
        <v>14</v>
      </c>
      <c r="D163" t="s">
        <v>18</v>
      </c>
      <c r="E163" t="s">
        <v>19</v>
      </c>
      <c r="F163">
        <v>4</v>
      </c>
      <c r="G163">
        <v>230.71</v>
      </c>
      <c r="H163" t="s">
        <v>12</v>
      </c>
    </row>
    <row r="164" spans="1:8" x14ac:dyDescent="0.2">
      <c r="A164">
        <v>45597</v>
      </c>
      <c r="B164" t="s">
        <v>58</v>
      </c>
      <c r="C164" t="s">
        <v>33</v>
      </c>
      <c r="D164" t="s">
        <v>57</v>
      </c>
      <c r="E164" t="s">
        <v>29</v>
      </c>
      <c r="F164">
        <v>3</v>
      </c>
      <c r="G164">
        <v>347.12</v>
      </c>
      <c r="H164" t="s">
        <v>12</v>
      </c>
    </row>
    <row r="165" spans="1:8" x14ac:dyDescent="0.2">
      <c r="A165">
        <v>45305</v>
      </c>
      <c r="B165" t="s">
        <v>158</v>
      </c>
      <c r="C165" t="s">
        <v>9</v>
      </c>
      <c r="D165" t="s">
        <v>31</v>
      </c>
      <c r="E165" t="s">
        <v>16</v>
      </c>
      <c r="F165">
        <v>4</v>
      </c>
      <c r="G165">
        <v>373.87</v>
      </c>
      <c r="H165" t="s">
        <v>12</v>
      </c>
    </row>
    <row r="166" spans="1:8" x14ac:dyDescent="0.2">
      <c r="A166">
        <v>45318</v>
      </c>
      <c r="B166" t="s">
        <v>159</v>
      </c>
      <c r="C166" t="s">
        <v>27</v>
      </c>
      <c r="D166" t="s">
        <v>56</v>
      </c>
      <c r="E166" t="s">
        <v>38</v>
      </c>
      <c r="F166">
        <v>2</v>
      </c>
      <c r="G166">
        <v>460.12</v>
      </c>
      <c r="H166" t="s">
        <v>20</v>
      </c>
    </row>
    <row r="167" spans="1:8" x14ac:dyDescent="0.2">
      <c r="A167">
        <v>45477</v>
      </c>
      <c r="B167" t="s">
        <v>160</v>
      </c>
      <c r="C167" t="s">
        <v>14</v>
      </c>
      <c r="D167" t="s">
        <v>68</v>
      </c>
      <c r="E167" t="s">
        <v>29</v>
      </c>
      <c r="F167">
        <v>8</v>
      </c>
      <c r="G167">
        <v>327.11</v>
      </c>
      <c r="H167" t="s">
        <v>43</v>
      </c>
    </row>
    <row r="168" spans="1:8" x14ac:dyDescent="0.2">
      <c r="A168">
        <v>45558</v>
      </c>
      <c r="B168" t="s">
        <v>161</v>
      </c>
      <c r="C168" t="s">
        <v>27</v>
      </c>
      <c r="D168" t="s">
        <v>71</v>
      </c>
      <c r="E168" t="s">
        <v>16</v>
      </c>
      <c r="F168">
        <v>1</v>
      </c>
      <c r="G168">
        <v>83.45</v>
      </c>
      <c r="H168" t="s">
        <v>20</v>
      </c>
    </row>
    <row r="169" spans="1:8" x14ac:dyDescent="0.2">
      <c r="A169">
        <v>45510</v>
      </c>
      <c r="B169" t="s">
        <v>115</v>
      </c>
      <c r="C169" t="s">
        <v>9</v>
      </c>
      <c r="D169" t="s">
        <v>47</v>
      </c>
      <c r="E169" t="s">
        <v>35</v>
      </c>
      <c r="F169">
        <v>8</v>
      </c>
      <c r="G169">
        <v>90.42</v>
      </c>
      <c r="H169" t="s">
        <v>12</v>
      </c>
    </row>
    <row r="170" spans="1:8" x14ac:dyDescent="0.2">
      <c r="A170">
        <v>45367</v>
      </c>
      <c r="B170" t="s">
        <v>162</v>
      </c>
      <c r="C170" t="s">
        <v>22</v>
      </c>
      <c r="D170" t="s">
        <v>42</v>
      </c>
      <c r="E170" t="s">
        <v>16</v>
      </c>
      <c r="F170">
        <v>10</v>
      </c>
      <c r="G170">
        <v>398.19</v>
      </c>
      <c r="H170" t="s">
        <v>43</v>
      </c>
    </row>
    <row r="171" spans="1:8" x14ac:dyDescent="0.2">
      <c r="A171">
        <v>45487</v>
      </c>
      <c r="B171" t="s">
        <v>102</v>
      </c>
      <c r="C171" t="s">
        <v>14</v>
      </c>
      <c r="D171" t="s">
        <v>54</v>
      </c>
      <c r="E171" t="s">
        <v>29</v>
      </c>
      <c r="F171">
        <v>8</v>
      </c>
      <c r="G171">
        <v>328.05</v>
      </c>
      <c r="H171" t="s">
        <v>20</v>
      </c>
    </row>
    <row r="172" spans="1:8" x14ac:dyDescent="0.2">
      <c r="A172">
        <v>45350</v>
      </c>
      <c r="B172" t="s">
        <v>163</v>
      </c>
      <c r="C172" t="s">
        <v>14</v>
      </c>
      <c r="D172" t="s">
        <v>10</v>
      </c>
      <c r="E172" t="s">
        <v>11</v>
      </c>
      <c r="F172">
        <v>4</v>
      </c>
      <c r="G172">
        <v>286.54000000000002</v>
      </c>
      <c r="H172" t="s">
        <v>12</v>
      </c>
    </row>
    <row r="173" spans="1:8" x14ac:dyDescent="0.2">
      <c r="A173">
        <v>45524</v>
      </c>
      <c r="B173" t="s">
        <v>61</v>
      </c>
      <c r="C173" t="s">
        <v>27</v>
      </c>
      <c r="D173" t="s">
        <v>10</v>
      </c>
      <c r="E173" t="s">
        <v>11</v>
      </c>
      <c r="F173">
        <v>2</v>
      </c>
      <c r="G173">
        <v>221.9</v>
      </c>
      <c r="H173" t="s">
        <v>20</v>
      </c>
    </row>
    <row r="174" spans="1:8" x14ac:dyDescent="0.2">
      <c r="A174">
        <v>45483</v>
      </c>
      <c r="B174" t="s">
        <v>164</v>
      </c>
      <c r="C174" t="s">
        <v>27</v>
      </c>
      <c r="D174" t="s">
        <v>34</v>
      </c>
      <c r="E174" t="s">
        <v>35</v>
      </c>
      <c r="F174">
        <v>2</v>
      </c>
      <c r="G174">
        <v>507.47</v>
      </c>
      <c r="H174" t="s">
        <v>12</v>
      </c>
    </row>
    <row r="175" spans="1:8" x14ac:dyDescent="0.2">
      <c r="A175">
        <v>45482</v>
      </c>
      <c r="B175" t="s">
        <v>158</v>
      </c>
      <c r="C175" t="s">
        <v>14</v>
      </c>
      <c r="D175" t="s">
        <v>75</v>
      </c>
      <c r="E175" t="s">
        <v>35</v>
      </c>
      <c r="F175">
        <v>10</v>
      </c>
      <c r="G175">
        <v>576.14</v>
      </c>
      <c r="H175" t="s">
        <v>43</v>
      </c>
    </row>
    <row r="176" spans="1:8" x14ac:dyDescent="0.2">
      <c r="A176">
        <v>45354</v>
      </c>
      <c r="B176" t="s">
        <v>67</v>
      </c>
      <c r="C176" t="s">
        <v>33</v>
      </c>
      <c r="D176" t="s">
        <v>97</v>
      </c>
      <c r="E176" t="s">
        <v>29</v>
      </c>
      <c r="F176">
        <v>7</v>
      </c>
      <c r="G176">
        <v>527.45000000000005</v>
      </c>
      <c r="H176" t="s">
        <v>43</v>
      </c>
    </row>
    <row r="177" spans="1:8" x14ac:dyDescent="0.2">
      <c r="A177">
        <v>45439</v>
      </c>
      <c r="B177" t="s">
        <v>165</v>
      </c>
      <c r="C177" t="s">
        <v>33</v>
      </c>
      <c r="D177" t="s">
        <v>31</v>
      </c>
      <c r="E177" t="s">
        <v>16</v>
      </c>
      <c r="F177">
        <v>2</v>
      </c>
      <c r="G177">
        <v>367.86</v>
      </c>
      <c r="H177" t="s">
        <v>12</v>
      </c>
    </row>
    <row r="178" spans="1:8" x14ac:dyDescent="0.2">
      <c r="A178">
        <v>45538</v>
      </c>
      <c r="B178" t="s">
        <v>166</v>
      </c>
      <c r="C178" t="s">
        <v>9</v>
      </c>
      <c r="D178" t="s">
        <v>31</v>
      </c>
      <c r="E178" t="s">
        <v>16</v>
      </c>
      <c r="F178">
        <v>9</v>
      </c>
      <c r="G178">
        <v>252.16</v>
      </c>
      <c r="H178" t="s">
        <v>20</v>
      </c>
    </row>
    <row r="179" spans="1:8" x14ac:dyDescent="0.2">
      <c r="A179">
        <v>45511</v>
      </c>
      <c r="B179" t="s">
        <v>167</v>
      </c>
      <c r="C179" t="s">
        <v>14</v>
      </c>
      <c r="D179" t="s">
        <v>49</v>
      </c>
      <c r="E179" t="s">
        <v>50</v>
      </c>
      <c r="F179">
        <v>9</v>
      </c>
      <c r="G179">
        <v>64.44</v>
      </c>
      <c r="H179" t="s">
        <v>43</v>
      </c>
    </row>
    <row r="180" spans="1:8" x14ac:dyDescent="0.2">
      <c r="A180">
        <v>45428</v>
      </c>
      <c r="B180" t="s">
        <v>168</v>
      </c>
      <c r="C180" t="s">
        <v>22</v>
      </c>
      <c r="D180" t="s">
        <v>42</v>
      </c>
      <c r="E180" t="s">
        <v>29</v>
      </c>
      <c r="F180">
        <v>5</v>
      </c>
      <c r="G180">
        <v>556.85</v>
      </c>
      <c r="H180" t="s">
        <v>20</v>
      </c>
    </row>
    <row r="181" spans="1:8" x14ac:dyDescent="0.2">
      <c r="A181">
        <v>45365</v>
      </c>
      <c r="B181" t="s">
        <v>113</v>
      </c>
      <c r="C181" t="s">
        <v>27</v>
      </c>
      <c r="D181" t="s">
        <v>34</v>
      </c>
      <c r="E181" t="s">
        <v>29</v>
      </c>
      <c r="F181">
        <v>3</v>
      </c>
      <c r="G181">
        <v>457.53</v>
      </c>
      <c r="H181" t="s">
        <v>12</v>
      </c>
    </row>
    <row r="182" spans="1:8" x14ac:dyDescent="0.2">
      <c r="A182">
        <v>45563</v>
      </c>
      <c r="B182" t="s">
        <v>169</v>
      </c>
      <c r="C182" t="s">
        <v>27</v>
      </c>
      <c r="D182" t="s">
        <v>15</v>
      </c>
      <c r="E182" t="s">
        <v>16</v>
      </c>
      <c r="F182">
        <v>8</v>
      </c>
      <c r="G182">
        <v>237.49</v>
      </c>
      <c r="H182" t="s">
        <v>20</v>
      </c>
    </row>
    <row r="183" spans="1:8" x14ac:dyDescent="0.2">
      <c r="A183">
        <v>45458</v>
      </c>
      <c r="B183" t="s">
        <v>170</v>
      </c>
      <c r="C183" t="s">
        <v>14</v>
      </c>
      <c r="D183" t="s">
        <v>49</v>
      </c>
      <c r="E183" t="s">
        <v>50</v>
      </c>
      <c r="F183">
        <v>2</v>
      </c>
      <c r="G183">
        <v>535.84</v>
      </c>
      <c r="H183" t="s">
        <v>12</v>
      </c>
    </row>
    <row r="184" spans="1:8" x14ac:dyDescent="0.2">
      <c r="A184">
        <v>45608</v>
      </c>
      <c r="B184" t="s">
        <v>171</v>
      </c>
      <c r="C184" t="s">
        <v>9</v>
      </c>
      <c r="D184" t="s">
        <v>42</v>
      </c>
      <c r="E184" t="s">
        <v>16</v>
      </c>
      <c r="F184">
        <v>8</v>
      </c>
      <c r="G184">
        <v>414.07</v>
      </c>
      <c r="H184" t="s">
        <v>20</v>
      </c>
    </row>
    <row r="185" spans="1:8" x14ac:dyDescent="0.2">
      <c r="A185">
        <v>45504</v>
      </c>
      <c r="B185" t="s">
        <v>105</v>
      </c>
      <c r="C185" t="s">
        <v>22</v>
      </c>
      <c r="D185" t="s">
        <v>56</v>
      </c>
      <c r="E185" t="s">
        <v>38</v>
      </c>
      <c r="F185">
        <v>2</v>
      </c>
      <c r="G185">
        <v>239.85</v>
      </c>
      <c r="H185" t="s">
        <v>12</v>
      </c>
    </row>
    <row r="186" spans="1:8" x14ac:dyDescent="0.2">
      <c r="A186">
        <v>45595</v>
      </c>
      <c r="B186" t="s">
        <v>119</v>
      </c>
      <c r="C186" t="s">
        <v>14</v>
      </c>
      <c r="D186" t="s">
        <v>97</v>
      </c>
      <c r="E186" t="s">
        <v>16</v>
      </c>
      <c r="F186">
        <v>5</v>
      </c>
      <c r="G186">
        <v>74.98</v>
      </c>
      <c r="H186" t="s">
        <v>20</v>
      </c>
    </row>
    <row r="187" spans="1:8" x14ac:dyDescent="0.2">
      <c r="A187">
        <v>45320</v>
      </c>
      <c r="B187" t="s">
        <v>172</v>
      </c>
      <c r="C187" t="s">
        <v>22</v>
      </c>
      <c r="D187" t="s">
        <v>54</v>
      </c>
      <c r="E187" t="s">
        <v>16</v>
      </c>
      <c r="F187">
        <v>4</v>
      </c>
      <c r="G187">
        <v>472.04</v>
      </c>
      <c r="H187" t="s">
        <v>20</v>
      </c>
    </row>
    <row r="188" spans="1:8" x14ac:dyDescent="0.2">
      <c r="A188">
        <v>45353</v>
      </c>
      <c r="B188" t="s">
        <v>172</v>
      </c>
      <c r="C188" t="s">
        <v>27</v>
      </c>
      <c r="D188" t="s">
        <v>10</v>
      </c>
      <c r="E188" t="s">
        <v>11</v>
      </c>
      <c r="F188">
        <v>7</v>
      </c>
      <c r="G188">
        <v>146.63</v>
      </c>
      <c r="H188" t="s">
        <v>20</v>
      </c>
    </row>
    <row r="189" spans="1:8" x14ac:dyDescent="0.2">
      <c r="A189">
        <v>45409</v>
      </c>
      <c r="B189" t="s">
        <v>55</v>
      </c>
      <c r="C189" t="s">
        <v>14</v>
      </c>
      <c r="D189" t="s">
        <v>97</v>
      </c>
      <c r="E189" t="s">
        <v>29</v>
      </c>
      <c r="F189">
        <v>6</v>
      </c>
      <c r="G189">
        <v>89.64</v>
      </c>
      <c r="H189" t="s">
        <v>43</v>
      </c>
    </row>
    <row r="190" spans="1:8" x14ac:dyDescent="0.2">
      <c r="A190">
        <v>45301</v>
      </c>
      <c r="B190" t="s">
        <v>173</v>
      </c>
      <c r="C190" t="s">
        <v>9</v>
      </c>
      <c r="D190" t="s">
        <v>59</v>
      </c>
      <c r="E190" t="s">
        <v>16</v>
      </c>
      <c r="F190">
        <v>10</v>
      </c>
      <c r="G190">
        <v>286.11</v>
      </c>
      <c r="H190" t="s">
        <v>20</v>
      </c>
    </row>
    <row r="191" spans="1:8" x14ac:dyDescent="0.2">
      <c r="A191">
        <v>45505</v>
      </c>
      <c r="B191" t="s">
        <v>123</v>
      </c>
      <c r="C191" t="s">
        <v>9</v>
      </c>
      <c r="D191" t="s">
        <v>25</v>
      </c>
      <c r="E191" t="s">
        <v>16</v>
      </c>
      <c r="F191">
        <v>1</v>
      </c>
      <c r="G191">
        <v>581.41</v>
      </c>
      <c r="H191" t="s">
        <v>12</v>
      </c>
    </row>
    <row r="192" spans="1:8" x14ac:dyDescent="0.2">
      <c r="A192">
        <v>45608</v>
      </c>
      <c r="B192" t="s">
        <v>173</v>
      </c>
      <c r="C192" t="s">
        <v>33</v>
      </c>
      <c r="D192" t="s">
        <v>34</v>
      </c>
      <c r="E192" t="s">
        <v>35</v>
      </c>
      <c r="F192">
        <v>7</v>
      </c>
      <c r="G192">
        <v>514.47</v>
      </c>
      <c r="H192" t="s">
        <v>12</v>
      </c>
    </row>
    <row r="193" spans="1:8" x14ac:dyDescent="0.2">
      <c r="A193">
        <v>45497</v>
      </c>
      <c r="B193" t="s">
        <v>174</v>
      </c>
      <c r="C193" t="s">
        <v>9</v>
      </c>
      <c r="D193" t="s">
        <v>25</v>
      </c>
      <c r="E193" t="s">
        <v>16</v>
      </c>
      <c r="F193">
        <v>5</v>
      </c>
      <c r="G193">
        <v>460.19</v>
      </c>
      <c r="H193" t="s">
        <v>12</v>
      </c>
    </row>
    <row r="194" spans="1:8" x14ac:dyDescent="0.2">
      <c r="A194">
        <v>45378</v>
      </c>
      <c r="B194" t="s">
        <v>143</v>
      </c>
      <c r="C194" t="s">
        <v>14</v>
      </c>
      <c r="D194" t="s">
        <v>71</v>
      </c>
      <c r="E194" t="s">
        <v>16</v>
      </c>
      <c r="F194">
        <v>2</v>
      </c>
      <c r="G194">
        <v>341.83</v>
      </c>
      <c r="H194" t="s">
        <v>12</v>
      </c>
    </row>
    <row r="195" spans="1:8" x14ac:dyDescent="0.2">
      <c r="A195">
        <v>45470</v>
      </c>
      <c r="B195" t="s">
        <v>134</v>
      </c>
      <c r="C195" t="s">
        <v>22</v>
      </c>
      <c r="D195" t="s">
        <v>40</v>
      </c>
      <c r="E195" t="s">
        <v>16</v>
      </c>
      <c r="F195">
        <v>2</v>
      </c>
      <c r="G195">
        <v>130.54</v>
      </c>
      <c r="H195" t="s">
        <v>12</v>
      </c>
    </row>
    <row r="196" spans="1:8" x14ac:dyDescent="0.2">
      <c r="A196">
        <v>45370</v>
      </c>
      <c r="B196" t="s">
        <v>21</v>
      </c>
      <c r="C196" t="s">
        <v>9</v>
      </c>
      <c r="D196" t="s">
        <v>88</v>
      </c>
      <c r="E196" t="s">
        <v>19</v>
      </c>
      <c r="F196">
        <v>8</v>
      </c>
      <c r="G196">
        <v>305.17</v>
      </c>
      <c r="H196" t="s">
        <v>43</v>
      </c>
    </row>
    <row r="197" spans="1:8" x14ac:dyDescent="0.2">
      <c r="A197">
        <v>45521</v>
      </c>
      <c r="B197" t="s">
        <v>48</v>
      </c>
      <c r="C197" t="s">
        <v>14</v>
      </c>
      <c r="D197" t="s">
        <v>71</v>
      </c>
      <c r="E197" t="s">
        <v>16</v>
      </c>
      <c r="F197">
        <v>10</v>
      </c>
      <c r="G197">
        <v>227.76</v>
      </c>
      <c r="H197" t="s">
        <v>43</v>
      </c>
    </row>
    <row r="198" spans="1:8" x14ac:dyDescent="0.2">
      <c r="A198">
        <v>45517</v>
      </c>
      <c r="B198" t="s">
        <v>116</v>
      </c>
      <c r="C198" t="s">
        <v>27</v>
      </c>
      <c r="D198" t="s">
        <v>62</v>
      </c>
      <c r="E198" t="s">
        <v>29</v>
      </c>
      <c r="F198">
        <v>5</v>
      </c>
      <c r="G198">
        <v>487.98</v>
      </c>
      <c r="H198" t="s">
        <v>43</v>
      </c>
    </row>
    <row r="199" spans="1:8" x14ac:dyDescent="0.2">
      <c r="A199">
        <v>45551</v>
      </c>
      <c r="B199" t="s">
        <v>175</v>
      </c>
      <c r="C199" t="s">
        <v>33</v>
      </c>
      <c r="D199" t="s">
        <v>62</v>
      </c>
      <c r="E199" t="s">
        <v>35</v>
      </c>
      <c r="F199">
        <v>8</v>
      </c>
      <c r="G199">
        <v>70.680000000000007</v>
      </c>
      <c r="H199" t="s">
        <v>20</v>
      </c>
    </row>
    <row r="200" spans="1:8" x14ac:dyDescent="0.2">
      <c r="A200">
        <v>45331</v>
      </c>
      <c r="B200" t="s">
        <v>138</v>
      </c>
      <c r="C200" t="s">
        <v>9</v>
      </c>
      <c r="D200" t="s">
        <v>49</v>
      </c>
      <c r="E200" t="s">
        <v>50</v>
      </c>
      <c r="F200">
        <v>10</v>
      </c>
      <c r="G200">
        <v>328.89</v>
      </c>
      <c r="H200" t="s">
        <v>20</v>
      </c>
    </row>
    <row r="201" spans="1:8" x14ac:dyDescent="0.2">
      <c r="A201">
        <v>45313</v>
      </c>
      <c r="B201" t="s">
        <v>176</v>
      </c>
      <c r="C201" t="s">
        <v>14</v>
      </c>
      <c r="D201" t="s">
        <v>71</v>
      </c>
      <c r="E201" t="s">
        <v>16</v>
      </c>
      <c r="F201">
        <v>4</v>
      </c>
      <c r="G201">
        <v>226.84</v>
      </c>
      <c r="H201" t="s">
        <v>20</v>
      </c>
    </row>
    <row r="202" spans="1:8" x14ac:dyDescent="0.2">
      <c r="A202">
        <v>45323</v>
      </c>
      <c r="B202" t="s">
        <v>176</v>
      </c>
      <c r="C202" t="s">
        <v>9</v>
      </c>
      <c r="D202" t="s">
        <v>59</v>
      </c>
      <c r="E202" t="s">
        <v>29</v>
      </c>
      <c r="F202">
        <v>2</v>
      </c>
      <c r="G202">
        <v>327.5</v>
      </c>
      <c r="H202" t="s">
        <v>12</v>
      </c>
    </row>
    <row r="203" spans="1:8" x14ac:dyDescent="0.2">
      <c r="A203">
        <v>45516</v>
      </c>
      <c r="B203" t="s">
        <v>151</v>
      </c>
      <c r="C203" t="s">
        <v>14</v>
      </c>
      <c r="D203" t="s">
        <v>56</v>
      </c>
      <c r="E203" t="s">
        <v>38</v>
      </c>
      <c r="F203">
        <v>10</v>
      </c>
      <c r="G203">
        <v>137.31</v>
      </c>
      <c r="H203" t="s">
        <v>20</v>
      </c>
    </row>
    <row r="204" spans="1:8" x14ac:dyDescent="0.2">
      <c r="A204">
        <v>45490</v>
      </c>
      <c r="B204" t="s">
        <v>87</v>
      </c>
      <c r="C204" t="s">
        <v>33</v>
      </c>
      <c r="D204" t="s">
        <v>97</v>
      </c>
      <c r="E204" t="s">
        <v>16</v>
      </c>
      <c r="F204">
        <v>10</v>
      </c>
      <c r="G204">
        <v>78.8</v>
      </c>
      <c r="H204" t="s">
        <v>43</v>
      </c>
    </row>
    <row r="205" spans="1:8" x14ac:dyDescent="0.2">
      <c r="A205">
        <v>45325</v>
      </c>
      <c r="B205" t="s">
        <v>177</v>
      </c>
      <c r="C205" t="s">
        <v>9</v>
      </c>
      <c r="D205" t="s">
        <v>28</v>
      </c>
      <c r="E205" t="s">
        <v>38</v>
      </c>
      <c r="F205">
        <v>7</v>
      </c>
      <c r="G205">
        <v>206.28</v>
      </c>
      <c r="H205" t="s">
        <v>43</v>
      </c>
    </row>
    <row r="206" spans="1:8" x14ac:dyDescent="0.2">
      <c r="A206">
        <v>45600</v>
      </c>
      <c r="B206" t="s">
        <v>125</v>
      </c>
      <c r="C206" t="s">
        <v>33</v>
      </c>
      <c r="D206" t="s">
        <v>34</v>
      </c>
      <c r="E206" t="s">
        <v>35</v>
      </c>
      <c r="F206">
        <v>10</v>
      </c>
      <c r="G206">
        <v>414.99</v>
      </c>
      <c r="H206" t="s">
        <v>20</v>
      </c>
    </row>
    <row r="207" spans="1:8" x14ac:dyDescent="0.2">
      <c r="A207">
        <v>45492</v>
      </c>
      <c r="B207" t="s">
        <v>158</v>
      </c>
      <c r="C207" t="s">
        <v>14</v>
      </c>
      <c r="D207" t="s">
        <v>23</v>
      </c>
      <c r="E207" t="s">
        <v>11</v>
      </c>
      <c r="F207">
        <v>2</v>
      </c>
      <c r="G207">
        <v>220.27</v>
      </c>
      <c r="H207" t="s">
        <v>20</v>
      </c>
    </row>
    <row r="208" spans="1:8" x14ac:dyDescent="0.2">
      <c r="A208">
        <v>45460</v>
      </c>
      <c r="B208" t="s">
        <v>159</v>
      </c>
      <c r="C208" t="s">
        <v>14</v>
      </c>
      <c r="D208" t="s">
        <v>34</v>
      </c>
      <c r="E208" t="s">
        <v>35</v>
      </c>
      <c r="F208">
        <v>7</v>
      </c>
      <c r="G208">
        <v>329.67</v>
      </c>
      <c r="H208" t="s">
        <v>12</v>
      </c>
    </row>
    <row r="209" spans="1:8" x14ac:dyDescent="0.2">
      <c r="A209">
        <v>45384</v>
      </c>
      <c r="B209" t="s">
        <v>44</v>
      </c>
      <c r="C209" t="s">
        <v>33</v>
      </c>
      <c r="D209" t="s">
        <v>47</v>
      </c>
      <c r="E209" t="s">
        <v>35</v>
      </c>
      <c r="F209">
        <v>4</v>
      </c>
      <c r="G209">
        <v>174.6</v>
      </c>
      <c r="H209" t="s">
        <v>12</v>
      </c>
    </row>
    <row r="210" spans="1:8" x14ac:dyDescent="0.2">
      <c r="A210">
        <v>45443</v>
      </c>
      <c r="B210" t="s">
        <v>70</v>
      </c>
      <c r="C210" t="s">
        <v>14</v>
      </c>
      <c r="D210" t="s">
        <v>28</v>
      </c>
      <c r="E210" t="s">
        <v>38</v>
      </c>
      <c r="F210">
        <v>9</v>
      </c>
      <c r="G210">
        <v>70.760000000000005</v>
      </c>
      <c r="H210" t="s">
        <v>20</v>
      </c>
    </row>
    <row r="211" spans="1:8" x14ac:dyDescent="0.2">
      <c r="A211">
        <v>45608</v>
      </c>
      <c r="B211" t="s">
        <v>158</v>
      </c>
      <c r="C211" t="s">
        <v>14</v>
      </c>
      <c r="D211" t="s">
        <v>25</v>
      </c>
      <c r="E211" t="s">
        <v>16</v>
      </c>
      <c r="F211">
        <v>3</v>
      </c>
      <c r="G211">
        <v>139.24</v>
      </c>
      <c r="H211" t="s">
        <v>43</v>
      </c>
    </row>
    <row r="212" spans="1:8" x14ac:dyDescent="0.2">
      <c r="A212">
        <v>45376</v>
      </c>
      <c r="B212" t="s">
        <v>178</v>
      </c>
      <c r="C212" t="s">
        <v>27</v>
      </c>
      <c r="D212" t="s">
        <v>75</v>
      </c>
      <c r="E212" t="s">
        <v>35</v>
      </c>
      <c r="F212">
        <v>7</v>
      </c>
      <c r="G212">
        <v>250.36</v>
      </c>
      <c r="H212" t="s">
        <v>43</v>
      </c>
    </row>
    <row r="213" spans="1:8" x14ac:dyDescent="0.2">
      <c r="A213">
        <v>45519</v>
      </c>
      <c r="B213" t="s">
        <v>179</v>
      </c>
      <c r="C213" t="s">
        <v>33</v>
      </c>
      <c r="D213" t="s">
        <v>10</v>
      </c>
      <c r="E213" t="s">
        <v>11</v>
      </c>
      <c r="F213">
        <v>8</v>
      </c>
      <c r="G213">
        <v>178.7</v>
      </c>
      <c r="H213" t="s">
        <v>12</v>
      </c>
    </row>
    <row r="214" spans="1:8" x14ac:dyDescent="0.2">
      <c r="A214">
        <v>45532</v>
      </c>
      <c r="B214" t="s">
        <v>180</v>
      </c>
      <c r="C214" t="s">
        <v>33</v>
      </c>
      <c r="D214" t="s">
        <v>97</v>
      </c>
      <c r="E214" t="s">
        <v>16</v>
      </c>
      <c r="F214">
        <v>10</v>
      </c>
      <c r="G214">
        <v>591.44000000000005</v>
      </c>
      <c r="H214" t="s">
        <v>20</v>
      </c>
    </row>
    <row r="215" spans="1:8" x14ac:dyDescent="0.2">
      <c r="A215">
        <v>45487</v>
      </c>
      <c r="B215" t="s">
        <v>55</v>
      </c>
      <c r="C215" t="s">
        <v>14</v>
      </c>
      <c r="D215" t="s">
        <v>15</v>
      </c>
      <c r="E215" t="s">
        <v>29</v>
      </c>
      <c r="F215">
        <v>3</v>
      </c>
      <c r="G215">
        <v>499.29</v>
      </c>
      <c r="H215" t="s">
        <v>43</v>
      </c>
    </row>
    <row r="216" spans="1:8" x14ac:dyDescent="0.2">
      <c r="A216">
        <v>45420</v>
      </c>
      <c r="B216" t="s">
        <v>111</v>
      </c>
      <c r="C216" t="s">
        <v>27</v>
      </c>
      <c r="D216" t="s">
        <v>31</v>
      </c>
      <c r="E216" t="s">
        <v>16</v>
      </c>
      <c r="F216">
        <v>9</v>
      </c>
      <c r="G216">
        <v>563.86</v>
      </c>
      <c r="H216" t="s">
        <v>43</v>
      </c>
    </row>
    <row r="217" spans="1:8" x14ac:dyDescent="0.2">
      <c r="A217">
        <v>45355</v>
      </c>
      <c r="B217" t="s">
        <v>181</v>
      </c>
      <c r="C217" t="s">
        <v>9</v>
      </c>
      <c r="D217" t="s">
        <v>88</v>
      </c>
      <c r="E217" t="s">
        <v>29</v>
      </c>
      <c r="F217">
        <v>5</v>
      </c>
      <c r="G217">
        <v>297.13</v>
      </c>
      <c r="H217" t="s">
        <v>43</v>
      </c>
    </row>
    <row r="218" spans="1:8" x14ac:dyDescent="0.2">
      <c r="A218">
        <v>45515</v>
      </c>
      <c r="B218" t="s">
        <v>85</v>
      </c>
      <c r="C218" t="s">
        <v>22</v>
      </c>
      <c r="D218" t="s">
        <v>62</v>
      </c>
      <c r="E218" t="s">
        <v>29</v>
      </c>
      <c r="F218">
        <v>6</v>
      </c>
      <c r="G218">
        <v>561.76</v>
      </c>
      <c r="H218" t="s">
        <v>20</v>
      </c>
    </row>
    <row r="219" spans="1:8" x14ac:dyDescent="0.2">
      <c r="A219">
        <v>45549</v>
      </c>
      <c r="B219" t="s">
        <v>182</v>
      </c>
      <c r="C219" t="s">
        <v>22</v>
      </c>
      <c r="D219" t="s">
        <v>25</v>
      </c>
      <c r="E219" t="s">
        <v>16</v>
      </c>
      <c r="F219">
        <v>2</v>
      </c>
      <c r="G219">
        <v>256.2</v>
      </c>
      <c r="H219" t="s">
        <v>12</v>
      </c>
    </row>
    <row r="220" spans="1:8" x14ac:dyDescent="0.2">
      <c r="A220">
        <v>45342</v>
      </c>
      <c r="B220" t="s">
        <v>183</v>
      </c>
      <c r="C220" t="s">
        <v>33</v>
      </c>
      <c r="D220" t="s">
        <v>57</v>
      </c>
      <c r="E220" t="s">
        <v>19</v>
      </c>
      <c r="F220">
        <v>3</v>
      </c>
      <c r="G220">
        <v>71.069999999999993</v>
      </c>
      <c r="H220" t="s">
        <v>20</v>
      </c>
    </row>
    <row r="221" spans="1:8" x14ac:dyDescent="0.2">
      <c r="A221">
        <v>45363</v>
      </c>
      <c r="B221" t="s">
        <v>21</v>
      </c>
      <c r="C221" t="s">
        <v>27</v>
      </c>
      <c r="D221" t="s">
        <v>62</v>
      </c>
      <c r="E221" t="s">
        <v>29</v>
      </c>
      <c r="F221">
        <v>10</v>
      </c>
      <c r="G221">
        <v>52.89</v>
      </c>
      <c r="H221" t="s">
        <v>12</v>
      </c>
    </row>
    <row r="222" spans="1:8" x14ac:dyDescent="0.2">
      <c r="A222">
        <v>45402</v>
      </c>
      <c r="B222" t="s">
        <v>125</v>
      </c>
      <c r="C222" t="s">
        <v>14</v>
      </c>
      <c r="D222" t="s">
        <v>10</v>
      </c>
      <c r="E222" t="s">
        <v>11</v>
      </c>
      <c r="F222">
        <v>10</v>
      </c>
      <c r="G222">
        <v>340.27</v>
      </c>
      <c r="H222" t="s">
        <v>12</v>
      </c>
    </row>
    <row r="223" spans="1:8" x14ac:dyDescent="0.2">
      <c r="A223">
        <v>45413</v>
      </c>
      <c r="B223" t="s">
        <v>161</v>
      </c>
      <c r="C223" t="s">
        <v>9</v>
      </c>
      <c r="D223" t="s">
        <v>75</v>
      </c>
      <c r="E223" t="s">
        <v>35</v>
      </c>
      <c r="F223">
        <v>4</v>
      </c>
      <c r="G223">
        <v>280.89999999999998</v>
      </c>
      <c r="H223" t="s">
        <v>43</v>
      </c>
    </row>
    <row r="224" spans="1:8" x14ac:dyDescent="0.2">
      <c r="A224">
        <v>45348</v>
      </c>
      <c r="B224" t="s">
        <v>184</v>
      </c>
      <c r="C224" t="s">
        <v>14</v>
      </c>
      <c r="D224" t="s">
        <v>28</v>
      </c>
      <c r="E224" t="s">
        <v>38</v>
      </c>
      <c r="F224">
        <v>1</v>
      </c>
      <c r="G224">
        <v>397.58</v>
      </c>
      <c r="H224" t="s">
        <v>43</v>
      </c>
    </row>
    <row r="225" spans="1:8" x14ac:dyDescent="0.2">
      <c r="A225">
        <v>45365</v>
      </c>
      <c r="B225" t="s">
        <v>123</v>
      </c>
      <c r="C225" t="s">
        <v>27</v>
      </c>
      <c r="D225" t="s">
        <v>52</v>
      </c>
      <c r="E225" t="s">
        <v>35</v>
      </c>
      <c r="F225">
        <v>10</v>
      </c>
      <c r="G225">
        <v>244.05</v>
      </c>
      <c r="H225" t="s">
        <v>43</v>
      </c>
    </row>
    <row r="226" spans="1:8" x14ac:dyDescent="0.2">
      <c r="A226">
        <v>45335</v>
      </c>
      <c r="B226" t="s">
        <v>174</v>
      </c>
      <c r="C226" t="s">
        <v>33</v>
      </c>
      <c r="D226" t="s">
        <v>34</v>
      </c>
      <c r="E226" t="s">
        <v>35</v>
      </c>
      <c r="F226">
        <v>9</v>
      </c>
      <c r="G226">
        <v>349.25</v>
      </c>
      <c r="H226" t="s">
        <v>43</v>
      </c>
    </row>
    <row r="227" spans="1:8" x14ac:dyDescent="0.2">
      <c r="A227">
        <v>45491</v>
      </c>
      <c r="B227" t="s">
        <v>139</v>
      </c>
      <c r="C227" t="s">
        <v>9</v>
      </c>
      <c r="D227" t="s">
        <v>71</v>
      </c>
      <c r="E227" t="s">
        <v>16</v>
      </c>
      <c r="F227">
        <v>7</v>
      </c>
      <c r="G227">
        <v>589.57000000000005</v>
      </c>
      <c r="H227" t="s">
        <v>20</v>
      </c>
    </row>
    <row r="228" spans="1:8" x14ac:dyDescent="0.2">
      <c r="A228">
        <v>45474</v>
      </c>
      <c r="B228" t="s">
        <v>116</v>
      </c>
      <c r="C228" t="s">
        <v>33</v>
      </c>
      <c r="D228" t="s">
        <v>40</v>
      </c>
      <c r="E228" t="s">
        <v>16</v>
      </c>
      <c r="F228">
        <v>2</v>
      </c>
      <c r="G228">
        <v>474.33</v>
      </c>
      <c r="H228" t="s">
        <v>43</v>
      </c>
    </row>
    <row r="229" spans="1:8" x14ac:dyDescent="0.2">
      <c r="A229">
        <v>45360</v>
      </c>
      <c r="B229" t="s">
        <v>142</v>
      </c>
      <c r="C229" t="s">
        <v>33</v>
      </c>
      <c r="D229" t="s">
        <v>28</v>
      </c>
      <c r="E229" t="s">
        <v>38</v>
      </c>
      <c r="F229">
        <v>6</v>
      </c>
      <c r="G229">
        <v>497.43</v>
      </c>
      <c r="H229" t="s">
        <v>12</v>
      </c>
    </row>
    <row r="230" spans="1:8" x14ac:dyDescent="0.2">
      <c r="A230">
        <v>45529</v>
      </c>
      <c r="B230" t="s">
        <v>93</v>
      </c>
      <c r="C230" t="s">
        <v>27</v>
      </c>
      <c r="D230" t="s">
        <v>71</v>
      </c>
      <c r="E230" t="s">
        <v>16</v>
      </c>
      <c r="F230">
        <v>3</v>
      </c>
      <c r="G230">
        <v>496.32</v>
      </c>
      <c r="H230" t="s">
        <v>12</v>
      </c>
    </row>
    <row r="231" spans="1:8" x14ac:dyDescent="0.2">
      <c r="A231">
        <v>45526</v>
      </c>
      <c r="B231" t="s">
        <v>91</v>
      </c>
      <c r="C231" t="s">
        <v>33</v>
      </c>
      <c r="D231" t="s">
        <v>18</v>
      </c>
      <c r="E231" t="s">
        <v>19</v>
      </c>
      <c r="F231">
        <v>1</v>
      </c>
      <c r="G231">
        <v>485.11</v>
      </c>
      <c r="H231" t="s">
        <v>12</v>
      </c>
    </row>
    <row r="232" spans="1:8" x14ac:dyDescent="0.2">
      <c r="A232">
        <v>45450</v>
      </c>
      <c r="B232" t="s">
        <v>160</v>
      </c>
      <c r="C232" t="s">
        <v>27</v>
      </c>
      <c r="D232" t="s">
        <v>28</v>
      </c>
      <c r="E232" t="s">
        <v>38</v>
      </c>
      <c r="F232">
        <v>8</v>
      </c>
      <c r="G232">
        <v>189.32</v>
      </c>
      <c r="H232" t="s">
        <v>43</v>
      </c>
    </row>
    <row r="233" spans="1:8" x14ac:dyDescent="0.2">
      <c r="A233">
        <v>45474</v>
      </c>
      <c r="B233" t="s">
        <v>100</v>
      </c>
      <c r="C233" t="s">
        <v>9</v>
      </c>
      <c r="D233" t="s">
        <v>71</v>
      </c>
      <c r="E233" t="s">
        <v>16</v>
      </c>
      <c r="F233">
        <v>6</v>
      </c>
      <c r="G233">
        <v>200.27</v>
      </c>
      <c r="H233" t="s">
        <v>20</v>
      </c>
    </row>
    <row r="234" spans="1:8" x14ac:dyDescent="0.2">
      <c r="A234">
        <v>45496</v>
      </c>
      <c r="B234" t="s">
        <v>185</v>
      </c>
      <c r="C234" t="s">
        <v>27</v>
      </c>
      <c r="D234" t="s">
        <v>25</v>
      </c>
      <c r="E234" t="s">
        <v>16</v>
      </c>
      <c r="F234">
        <v>6</v>
      </c>
      <c r="G234">
        <v>585.54999999999995</v>
      </c>
      <c r="H234" t="s">
        <v>20</v>
      </c>
    </row>
    <row r="235" spans="1:8" x14ac:dyDescent="0.2">
      <c r="A235">
        <v>45480</v>
      </c>
      <c r="B235" t="s">
        <v>186</v>
      </c>
      <c r="C235" t="s">
        <v>33</v>
      </c>
      <c r="D235" t="s">
        <v>34</v>
      </c>
      <c r="E235" t="s">
        <v>35</v>
      </c>
      <c r="F235">
        <v>7</v>
      </c>
      <c r="G235">
        <v>93.41</v>
      </c>
      <c r="H235" t="s">
        <v>43</v>
      </c>
    </row>
    <row r="236" spans="1:8" x14ac:dyDescent="0.2">
      <c r="A236">
        <v>45384</v>
      </c>
      <c r="B236" t="s">
        <v>82</v>
      </c>
      <c r="C236" t="s">
        <v>33</v>
      </c>
      <c r="D236" t="s">
        <v>59</v>
      </c>
      <c r="E236" t="s">
        <v>16</v>
      </c>
      <c r="F236">
        <v>2</v>
      </c>
      <c r="G236">
        <v>94.04</v>
      </c>
      <c r="H236" t="s">
        <v>43</v>
      </c>
    </row>
    <row r="237" spans="1:8" x14ac:dyDescent="0.2">
      <c r="A237">
        <v>45520</v>
      </c>
      <c r="B237" t="s">
        <v>131</v>
      </c>
      <c r="C237" t="s">
        <v>27</v>
      </c>
      <c r="D237" t="s">
        <v>88</v>
      </c>
      <c r="E237" t="s">
        <v>19</v>
      </c>
      <c r="F237">
        <v>8</v>
      </c>
      <c r="G237">
        <v>243.35</v>
      </c>
      <c r="H237" t="s">
        <v>12</v>
      </c>
    </row>
    <row r="238" spans="1:8" x14ac:dyDescent="0.2">
      <c r="A238">
        <v>45472</v>
      </c>
      <c r="B238" t="s">
        <v>94</v>
      </c>
      <c r="C238" t="s">
        <v>27</v>
      </c>
      <c r="D238" t="s">
        <v>42</v>
      </c>
      <c r="E238" t="s">
        <v>16</v>
      </c>
      <c r="F238">
        <v>1</v>
      </c>
      <c r="G238">
        <v>91.27</v>
      </c>
      <c r="H238" t="s">
        <v>43</v>
      </c>
    </row>
    <row r="239" spans="1:8" x14ac:dyDescent="0.2">
      <c r="A239">
        <v>45554</v>
      </c>
      <c r="B239" t="s">
        <v>140</v>
      </c>
      <c r="C239" t="s">
        <v>22</v>
      </c>
      <c r="D239" t="s">
        <v>52</v>
      </c>
      <c r="E239" t="s">
        <v>35</v>
      </c>
      <c r="F239">
        <v>3</v>
      </c>
      <c r="G239">
        <v>516.77</v>
      </c>
      <c r="H239" t="s">
        <v>43</v>
      </c>
    </row>
    <row r="240" spans="1:8" x14ac:dyDescent="0.2">
      <c r="A240">
        <v>45309</v>
      </c>
      <c r="B240" t="s">
        <v>159</v>
      </c>
      <c r="C240" t="s">
        <v>9</v>
      </c>
      <c r="D240" t="s">
        <v>40</v>
      </c>
      <c r="E240" t="s">
        <v>29</v>
      </c>
      <c r="F240">
        <v>6</v>
      </c>
      <c r="G240">
        <v>249.18</v>
      </c>
      <c r="H240" t="s">
        <v>43</v>
      </c>
    </row>
    <row r="241" spans="1:8" x14ac:dyDescent="0.2">
      <c r="A241">
        <v>45370</v>
      </c>
      <c r="B241" t="s">
        <v>153</v>
      </c>
      <c r="C241" t="s">
        <v>27</v>
      </c>
      <c r="D241" t="s">
        <v>31</v>
      </c>
      <c r="E241" t="s">
        <v>16</v>
      </c>
      <c r="F241">
        <v>6</v>
      </c>
      <c r="G241">
        <v>294.17</v>
      </c>
      <c r="H241" t="s">
        <v>12</v>
      </c>
    </row>
    <row r="242" spans="1:8" x14ac:dyDescent="0.2">
      <c r="A242">
        <v>45563</v>
      </c>
      <c r="B242" t="s">
        <v>36</v>
      </c>
      <c r="C242" t="s">
        <v>27</v>
      </c>
      <c r="D242" t="s">
        <v>59</v>
      </c>
      <c r="E242" t="s">
        <v>29</v>
      </c>
      <c r="F242">
        <v>5</v>
      </c>
      <c r="G242">
        <v>187.29</v>
      </c>
      <c r="H242" t="s">
        <v>12</v>
      </c>
    </row>
    <row r="243" spans="1:8" x14ac:dyDescent="0.2">
      <c r="A243">
        <v>45387</v>
      </c>
      <c r="B243" t="s">
        <v>184</v>
      </c>
      <c r="C243" t="s">
        <v>14</v>
      </c>
      <c r="D243" t="s">
        <v>25</v>
      </c>
      <c r="E243" t="s">
        <v>16</v>
      </c>
      <c r="F243">
        <v>9</v>
      </c>
      <c r="G243">
        <v>114.77</v>
      </c>
      <c r="H243" t="s">
        <v>20</v>
      </c>
    </row>
    <row r="244" spans="1:8" x14ac:dyDescent="0.2">
      <c r="A244">
        <v>45401</v>
      </c>
      <c r="B244" t="s">
        <v>179</v>
      </c>
      <c r="C244" t="s">
        <v>33</v>
      </c>
      <c r="D244" t="s">
        <v>23</v>
      </c>
      <c r="E244" t="s">
        <v>11</v>
      </c>
      <c r="F244">
        <v>8</v>
      </c>
      <c r="G244">
        <v>160.1</v>
      </c>
      <c r="H244" t="s">
        <v>12</v>
      </c>
    </row>
    <row r="245" spans="1:8" x14ac:dyDescent="0.2">
      <c r="A245">
        <v>45523</v>
      </c>
      <c r="B245" t="s">
        <v>187</v>
      </c>
      <c r="C245" t="s">
        <v>27</v>
      </c>
      <c r="D245" t="s">
        <v>34</v>
      </c>
      <c r="E245" t="s">
        <v>29</v>
      </c>
      <c r="F245">
        <v>6</v>
      </c>
      <c r="G245">
        <v>417.31</v>
      </c>
      <c r="H245" t="s">
        <v>43</v>
      </c>
    </row>
    <row r="246" spans="1:8" x14ac:dyDescent="0.2">
      <c r="A246">
        <v>45569</v>
      </c>
      <c r="B246" t="s">
        <v>123</v>
      </c>
      <c r="C246" t="s">
        <v>33</v>
      </c>
      <c r="D246" t="s">
        <v>88</v>
      </c>
      <c r="E246" t="s">
        <v>19</v>
      </c>
      <c r="F246">
        <v>3</v>
      </c>
      <c r="G246">
        <v>486.53</v>
      </c>
      <c r="H246" t="s">
        <v>43</v>
      </c>
    </row>
    <row r="247" spans="1:8" x14ac:dyDescent="0.2">
      <c r="A247">
        <v>45394</v>
      </c>
      <c r="B247" t="s">
        <v>46</v>
      </c>
      <c r="C247" t="s">
        <v>22</v>
      </c>
      <c r="D247" t="s">
        <v>47</v>
      </c>
      <c r="E247" t="s">
        <v>35</v>
      </c>
      <c r="F247">
        <v>1</v>
      </c>
      <c r="G247">
        <v>248.49</v>
      </c>
      <c r="H247" t="s">
        <v>43</v>
      </c>
    </row>
    <row r="248" spans="1:8" x14ac:dyDescent="0.2">
      <c r="A248">
        <v>45574</v>
      </c>
      <c r="B248" t="s">
        <v>158</v>
      </c>
      <c r="C248" t="s">
        <v>14</v>
      </c>
      <c r="D248" t="s">
        <v>34</v>
      </c>
      <c r="E248" t="s">
        <v>35</v>
      </c>
      <c r="F248">
        <v>2</v>
      </c>
      <c r="G248">
        <v>220.11</v>
      </c>
      <c r="H248" t="s">
        <v>43</v>
      </c>
    </row>
    <row r="249" spans="1:8" x14ac:dyDescent="0.2">
      <c r="A249">
        <v>45561</v>
      </c>
      <c r="B249" t="s">
        <v>67</v>
      </c>
      <c r="C249" t="s">
        <v>27</v>
      </c>
      <c r="D249" t="s">
        <v>78</v>
      </c>
      <c r="E249" t="s">
        <v>50</v>
      </c>
      <c r="F249">
        <v>2</v>
      </c>
      <c r="G249">
        <v>118.93</v>
      </c>
      <c r="H249" t="s">
        <v>20</v>
      </c>
    </row>
    <row r="250" spans="1:8" x14ac:dyDescent="0.2">
      <c r="A250">
        <v>45522</v>
      </c>
      <c r="B250" t="s">
        <v>149</v>
      </c>
      <c r="C250" t="s">
        <v>14</v>
      </c>
      <c r="D250" t="s">
        <v>31</v>
      </c>
      <c r="E250" t="s">
        <v>16</v>
      </c>
      <c r="F250">
        <v>3</v>
      </c>
      <c r="G250">
        <v>532.88</v>
      </c>
      <c r="H250" t="s">
        <v>43</v>
      </c>
    </row>
    <row r="251" spans="1:8" x14ac:dyDescent="0.2">
      <c r="A251">
        <v>45385</v>
      </c>
      <c r="B251" t="s">
        <v>104</v>
      </c>
      <c r="C251" t="s">
        <v>22</v>
      </c>
      <c r="D251" t="s">
        <v>15</v>
      </c>
      <c r="E251" t="s">
        <v>16</v>
      </c>
      <c r="F251">
        <v>9</v>
      </c>
      <c r="G251">
        <v>550.89</v>
      </c>
      <c r="H251" t="s">
        <v>12</v>
      </c>
    </row>
    <row r="252" spans="1:8" x14ac:dyDescent="0.2">
      <c r="A252">
        <v>45557</v>
      </c>
      <c r="B252" t="s">
        <v>164</v>
      </c>
      <c r="C252" t="s">
        <v>33</v>
      </c>
      <c r="D252" t="s">
        <v>88</v>
      </c>
      <c r="E252" t="s">
        <v>19</v>
      </c>
      <c r="F252">
        <v>3</v>
      </c>
      <c r="G252">
        <v>227.46</v>
      </c>
      <c r="H252" t="s">
        <v>43</v>
      </c>
    </row>
    <row r="253" spans="1:8" x14ac:dyDescent="0.2">
      <c r="A253">
        <v>45557</v>
      </c>
      <c r="B253" t="s">
        <v>181</v>
      </c>
      <c r="C253" t="s">
        <v>9</v>
      </c>
      <c r="D253" t="s">
        <v>42</v>
      </c>
      <c r="E253" t="s">
        <v>16</v>
      </c>
      <c r="F253">
        <v>4</v>
      </c>
      <c r="G253">
        <v>399.28</v>
      </c>
      <c r="H253" t="s">
        <v>43</v>
      </c>
    </row>
    <row r="254" spans="1:8" x14ac:dyDescent="0.2">
      <c r="A254">
        <v>45612</v>
      </c>
      <c r="B254" t="s">
        <v>161</v>
      </c>
      <c r="C254" t="s">
        <v>14</v>
      </c>
      <c r="D254" t="s">
        <v>28</v>
      </c>
      <c r="E254" t="s">
        <v>38</v>
      </c>
      <c r="F254">
        <v>2</v>
      </c>
      <c r="G254">
        <v>326.42</v>
      </c>
      <c r="H254" t="s">
        <v>12</v>
      </c>
    </row>
    <row r="255" spans="1:8" x14ac:dyDescent="0.2">
      <c r="A255">
        <v>45589</v>
      </c>
      <c r="B255" t="s">
        <v>164</v>
      </c>
      <c r="C255" t="s">
        <v>22</v>
      </c>
      <c r="D255" t="s">
        <v>97</v>
      </c>
      <c r="E255" t="s">
        <v>16</v>
      </c>
      <c r="F255">
        <v>10</v>
      </c>
      <c r="G255">
        <v>446.35</v>
      </c>
      <c r="H255" t="s">
        <v>43</v>
      </c>
    </row>
    <row r="256" spans="1:8" x14ac:dyDescent="0.2">
      <c r="A256">
        <v>45580</v>
      </c>
      <c r="B256" t="s">
        <v>188</v>
      </c>
      <c r="C256" t="s">
        <v>9</v>
      </c>
      <c r="D256" t="s">
        <v>34</v>
      </c>
      <c r="E256" t="s">
        <v>35</v>
      </c>
      <c r="F256">
        <v>1</v>
      </c>
      <c r="G256">
        <v>571.70000000000005</v>
      </c>
      <c r="H256" t="s">
        <v>43</v>
      </c>
    </row>
    <row r="257" spans="1:8" x14ac:dyDescent="0.2">
      <c r="A257">
        <v>45399</v>
      </c>
      <c r="B257" t="s">
        <v>104</v>
      </c>
      <c r="C257" t="s">
        <v>14</v>
      </c>
      <c r="D257" t="s">
        <v>15</v>
      </c>
      <c r="E257" t="s">
        <v>16</v>
      </c>
      <c r="F257">
        <v>10</v>
      </c>
      <c r="G257">
        <v>401.45</v>
      </c>
      <c r="H257" t="s">
        <v>20</v>
      </c>
    </row>
    <row r="258" spans="1:8" x14ac:dyDescent="0.2">
      <c r="A258">
        <v>45571</v>
      </c>
      <c r="B258" t="s">
        <v>123</v>
      </c>
      <c r="C258" t="s">
        <v>33</v>
      </c>
      <c r="D258" t="s">
        <v>47</v>
      </c>
      <c r="E258" t="s">
        <v>35</v>
      </c>
      <c r="F258">
        <v>4</v>
      </c>
      <c r="G258">
        <v>492.58</v>
      </c>
      <c r="H258" t="s">
        <v>43</v>
      </c>
    </row>
    <row r="259" spans="1:8" x14ac:dyDescent="0.2">
      <c r="A259">
        <v>45524</v>
      </c>
      <c r="B259" t="s">
        <v>175</v>
      </c>
      <c r="C259" t="s">
        <v>9</v>
      </c>
      <c r="D259" t="s">
        <v>88</v>
      </c>
      <c r="E259" t="s">
        <v>19</v>
      </c>
      <c r="F259">
        <v>8</v>
      </c>
      <c r="G259">
        <v>278.58999999999997</v>
      </c>
      <c r="H259" t="s">
        <v>20</v>
      </c>
    </row>
    <row r="260" spans="1:8" x14ac:dyDescent="0.2">
      <c r="A260">
        <v>45602</v>
      </c>
      <c r="B260" t="s">
        <v>189</v>
      </c>
      <c r="C260" t="s">
        <v>33</v>
      </c>
      <c r="D260" t="s">
        <v>23</v>
      </c>
      <c r="E260" t="s">
        <v>11</v>
      </c>
      <c r="F260">
        <v>6</v>
      </c>
      <c r="G260">
        <v>453.81</v>
      </c>
      <c r="H260" t="s">
        <v>20</v>
      </c>
    </row>
    <row r="261" spans="1:8" x14ac:dyDescent="0.2">
      <c r="A261">
        <v>45358</v>
      </c>
      <c r="B261" t="s">
        <v>21</v>
      </c>
      <c r="C261" t="s">
        <v>33</v>
      </c>
      <c r="D261" t="s">
        <v>56</v>
      </c>
      <c r="E261" t="s">
        <v>38</v>
      </c>
      <c r="F261">
        <v>9</v>
      </c>
      <c r="G261">
        <v>108.4</v>
      </c>
      <c r="H261" t="s">
        <v>12</v>
      </c>
    </row>
    <row r="262" spans="1:8" x14ac:dyDescent="0.2">
      <c r="A262">
        <v>45428</v>
      </c>
      <c r="B262" t="s">
        <v>176</v>
      </c>
      <c r="C262" t="s">
        <v>22</v>
      </c>
      <c r="D262" t="s">
        <v>57</v>
      </c>
      <c r="E262" t="s">
        <v>19</v>
      </c>
      <c r="F262">
        <v>2</v>
      </c>
      <c r="G262">
        <v>77.83</v>
      </c>
      <c r="H262" t="s">
        <v>20</v>
      </c>
    </row>
    <row r="263" spans="1:8" x14ac:dyDescent="0.2">
      <c r="A263">
        <v>45506</v>
      </c>
      <c r="B263" t="s">
        <v>112</v>
      </c>
      <c r="C263" t="s">
        <v>22</v>
      </c>
      <c r="D263" t="s">
        <v>59</v>
      </c>
      <c r="E263" t="s">
        <v>16</v>
      </c>
      <c r="F263">
        <v>10</v>
      </c>
      <c r="G263">
        <v>446.62</v>
      </c>
      <c r="H263" t="s">
        <v>12</v>
      </c>
    </row>
    <row r="264" spans="1:8" x14ac:dyDescent="0.2">
      <c r="A264">
        <v>45547</v>
      </c>
      <c r="B264" t="s">
        <v>160</v>
      </c>
      <c r="C264" t="s">
        <v>27</v>
      </c>
      <c r="D264" t="s">
        <v>47</v>
      </c>
      <c r="E264" t="s">
        <v>35</v>
      </c>
      <c r="F264">
        <v>5</v>
      </c>
      <c r="G264">
        <v>323.55</v>
      </c>
      <c r="H264" t="s">
        <v>12</v>
      </c>
    </row>
    <row r="265" spans="1:8" x14ac:dyDescent="0.2">
      <c r="A265">
        <v>45550</v>
      </c>
      <c r="B265" t="s">
        <v>173</v>
      </c>
      <c r="C265" t="s">
        <v>22</v>
      </c>
      <c r="D265" t="s">
        <v>18</v>
      </c>
      <c r="E265" t="s">
        <v>19</v>
      </c>
      <c r="F265">
        <v>10</v>
      </c>
      <c r="G265">
        <v>244.09</v>
      </c>
      <c r="H265" t="s">
        <v>12</v>
      </c>
    </row>
    <row r="266" spans="1:8" x14ac:dyDescent="0.2">
      <c r="A266">
        <v>45597</v>
      </c>
      <c r="B266" t="s">
        <v>163</v>
      </c>
      <c r="C266" t="s">
        <v>27</v>
      </c>
      <c r="D266" t="s">
        <v>54</v>
      </c>
      <c r="E266" t="s">
        <v>16</v>
      </c>
      <c r="F266">
        <v>9</v>
      </c>
      <c r="G266">
        <v>54.5</v>
      </c>
      <c r="H266" t="s">
        <v>12</v>
      </c>
    </row>
    <row r="267" spans="1:8" x14ac:dyDescent="0.2">
      <c r="A267">
        <v>45427</v>
      </c>
      <c r="B267" t="s">
        <v>26</v>
      </c>
      <c r="C267" t="s">
        <v>33</v>
      </c>
      <c r="D267" t="s">
        <v>25</v>
      </c>
      <c r="E267" t="s">
        <v>16</v>
      </c>
      <c r="F267">
        <v>6</v>
      </c>
      <c r="G267">
        <v>74.88</v>
      </c>
      <c r="H267" t="s">
        <v>12</v>
      </c>
    </row>
    <row r="268" spans="1:8" x14ac:dyDescent="0.2">
      <c r="A268">
        <v>45391</v>
      </c>
      <c r="B268" t="s">
        <v>156</v>
      </c>
      <c r="C268" t="s">
        <v>14</v>
      </c>
      <c r="D268" t="s">
        <v>54</v>
      </c>
      <c r="E268" t="s">
        <v>16</v>
      </c>
      <c r="F268">
        <v>2</v>
      </c>
      <c r="G268">
        <v>262.49</v>
      </c>
      <c r="H268" t="s">
        <v>20</v>
      </c>
    </row>
    <row r="269" spans="1:8" x14ac:dyDescent="0.2">
      <c r="A269">
        <v>45435</v>
      </c>
      <c r="B269" t="s">
        <v>190</v>
      </c>
      <c r="C269" t="s">
        <v>14</v>
      </c>
      <c r="D269" t="s">
        <v>68</v>
      </c>
      <c r="E269" t="s">
        <v>35</v>
      </c>
      <c r="F269">
        <v>3</v>
      </c>
      <c r="G269">
        <v>586.29999999999995</v>
      </c>
      <c r="H269" t="s">
        <v>20</v>
      </c>
    </row>
    <row r="270" spans="1:8" x14ac:dyDescent="0.2">
      <c r="A270">
        <v>45465</v>
      </c>
      <c r="B270" t="s">
        <v>101</v>
      </c>
      <c r="C270" t="s">
        <v>33</v>
      </c>
      <c r="D270" t="s">
        <v>57</v>
      </c>
      <c r="E270" t="s">
        <v>19</v>
      </c>
      <c r="F270">
        <v>4</v>
      </c>
      <c r="G270">
        <v>381.35</v>
      </c>
      <c r="H270" t="s">
        <v>20</v>
      </c>
    </row>
    <row r="271" spans="1:8" x14ac:dyDescent="0.2">
      <c r="A271">
        <v>45315</v>
      </c>
      <c r="B271" t="s">
        <v>91</v>
      </c>
      <c r="C271" t="s">
        <v>22</v>
      </c>
      <c r="D271" t="s">
        <v>23</v>
      </c>
      <c r="E271" t="s">
        <v>11</v>
      </c>
      <c r="F271">
        <v>6</v>
      </c>
      <c r="G271">
        <v>492.18</v>
      </c>
      <c r="H271" t="s">
        <v>43</v>
      </c>
    </row>
    <row r="272" spans="1:8" x14ac:dyDescent="0.2">
      <c r="A272">
        <v>45602</v>
      </c>
      <c r="B272" t="s">
        <v>160</v>
      </c>
      <c r="C272" t="s">
        <v>22</v>
      </c>
      <c r="D272" t="s">
        <v>59</v>
      </c>
      <c r="E272" t="s">
        <v>16</v>
      </c>
      <c r="F272">
        <v>10</v>
      </c>
      <c r="G272">
        <v>225.19</v>
      </c>
      <c r="H272" t="s">
        <v>20</v>
      </c>
    </row>
    <row r="273" spans="1:8" x14ac:dyDescent="0.2">
      <c r="A273">
        <v>45445</v>
      </c>
      <c r="B273" t="s">
        <v>191</v>
      </c>
      <c r="C273" t="s">
        <v>33</v>
      </c>
      <c r="D273" t="s">
        <v>56</v>
      </c>
      <c r="E273" t="s">
        <v>38</v>
      </c>
      <c r="F273">
        <v>9</v>
      </c>
      <c r="G273">
        <v>342.79</v>
      </c>
      <c r="H273" t="s">
        <v>43</v>
      </c>
    </row>
    <row r="274" spans="1:8" x14ac:dyDescent="0.2">
      <c r="A274">
        <v>45535</v>
      </c>
      <c r="B274" t="s">
        <v>192</v>
      </c>
      <c r="C274" t="s">
        <v>33</v>
      </c>
      <c r="D274" t="s">
        <v>59</v>
      </c>
      <c r="E274" t="s">
        <v>16</v>
      </c>
      <c r="F274">
        <v>2</v>
      </c>
      <c r="G274">
        <v>588.94000000000005</v>
      </c>
      <c r="H274" t="s">
        <v>43</v>
      </c>
    </row>
    <row r="275" spans="1:8" x14ac:dyDescent="0.2">
      <c r="A275">
        <v>45614</v>
      </c>
      <c r="B275" t="s">
        <v>17</v>
      </c>
      <c r="C275" t="s">
        <v>14</v>
      </c>
      <c r="D275" t="s">
        <v>47</v>
      </c>
      <c r="E275" t="s">
        <v>35</v>
      </c>
      <c r="F275">
        <v>5</v>
      </c>
      <c r="G275">
        <v>581.89</v>
      </c>
      <c r="H275" t="s">
        <v>43</v>
      </c>
    </row>
    <row r="276" spans="1:8" x14ac:dyDescent="0.2">
      <c r="A276">
        <v>45318</v>
      </c>
      <c r="B276" t="s">
        <v>148</v>
      </c>
      <c r="C276" t="s">
        <v>27</v>
      </c>
      <c r="D276" t="s">
        <v>88</v>
      </c>
      <c r="E276" t="s">
        <v>19</v>
      </c>
      <c r="F276">
        <v>9</v>
      </c>
      <c r="G276">
        <v>395.96</v>
      </c>
      <c r="H276" t="s">
        <v>43</v>
      </c>
    </row>
    <row r="277" spans="1:8" x14ac:dyDescent="0.2">
      <c r="A277">
        <v>45486</v>
      </c>
      <c r="B277" t="s">
        <v>193</v>
      </c>
      <c r="C277" t="s">
        <v>22</v>
      </c>
      <c r="D277" t="s">
        <v>75</v>
      </c>
      <c r="E277" t="s">
        <v>35</v>
      </c>
      <c r="F277">
        <v>10</v>
      </c>
      <c r="G277">
        <v>571.51</v>
      </c>
      <c r="H277" t="s">
        <v>12</v>
      </c>
    </row>
    <row r="278" spans="1:8" x14ac:dyDescent="0.2">
      <c r="A278">
        <v>45517</v>
      </c>
      <c r="B278" t="s">
        <v>41</v>
      </c>
      <c r="C278" t="s">
        <v>27</v>
      </c>
      <c r="D278" t="s">
        <v>57</v>
      </c>
      <c r="E278" t="s">
        <v>19</v>
      </c>
      <c r="F278">
        <v>7</v>
      </c>
      <c r="G278">
        <v>429.78</v>
      </c>
      <c r="H278" t="s">
        <v>20</v>
      </c>
    </row>
    <row r="279" spans="1:8" x14ac:dyDescent="0.2">
      <c r="A279">
        <v>45605</v>
      </c>
      <c r="B279" t="s">
        <v>139</v>
      </c>
      <c r="C279" t="s">
        <v>9</v>
      </c>
      <c r="D279" t="s">
        <v>23</v>
      </c>
      <c r="E279" t="s">
        <v>11</v>
      </c>
      <c r="F279">
        <v>3</v>
      </c>
      <c r="G279">
        <v>335.28</v>
      </c>
      <c r="H279" t="s">
        <v>43</v>
      </c>
    </row>
    <row r="280" spans="1:8" x14ac:dyDescent="0.2">
      <c r="A280">
        <v>45536</v>
      </c>
      <c r="B280" t="s">
        <v>174</v>
      </c>
      <c r="C280" t="s">
        <v>27</v>
      </c>
      <c r="D280" t="s">
        <v>59</v>
      </c>
      <c r="E280" t="s">
        <v>16</v>
      </c>
      <c r="F280">
        <v>3</v>
      </c>
      <c r="G280">
        <v>302.81</v>
      </c>
      <c r="H280" t="s">
        <v>43</v>
      </c>
    </row>
    <row r="281" spans="1:8" x14ac:dyDescent="0.2">
      <c r="A281">
        <v>45473</v>
      </c>
      <c r="B281" t="s">
        <v>153</v>
      </c>
      <c r="C281" t="s">
        <v>33</v>
      </c>
      <c r="D281" t="s">
        <v>49</v>
      </c>
      <c r="E281" t="s">
        <v>50</v>
      </c>
      <c r="F281">
        <v>8</v>
      </c>
      <c r="G281">
        <v>155.75</v>
      </c>
      <c r="H281" t="s">
        <v>12</v>
      </c>
    </row>
    <row r="282" spans="1:8" x14ac:dyDescent="0.2">
      <c r="A282">
        <v>45444</v>
      </c>
      <c r="B282" t="s">
        <v>166</v>
      </c>
      <c r="C282" t="s">
        <v>33</v>
      </c>
      <c r="D282" t="s">
        <v>54</v>
      </c>
      <c r="E282" t="s">
        <v>16</v>
      </c>
      <c r="F282">
        <v>4</v>
      </c>
      <c r="G282">
        <v>429.63</v>
      </c>
      <c r="H282" t="s">
        <v>20</v>
      </c>
    </row>
    <row r="283" spans="1:8" x14ac:dyDescent="0.2">
      <c r="A283">
        <v>45470</v>
      </c>
      <c r="B283" t="s">
        <v>167</v>
      </c>
      <c r="C283" t="s">
        <v>33</v>
      </c>
      <c r="D283" t="s">
        <v>54</v>
      </c>
      <c r="E283" t="s">
        <v>16</v>
      </c>
      <c r="F283">
        <v>2</v>
      </c>
      <c r="G283">
        <v>365.41</v>
      </c>
      <c r="H283" t="s">
        <v>43</v>
      </c>
    </row>
    <row r="284" spans="1:8" x14ac:dyDescent="0.2">
      <c r="A284">
        <v>45494</v>
      </c>
      <c r="B284" t="s">
        <v>194</v>
      </c>
      <c r="C284" t="s">
        <v>22</v>
      </c>
      <c r="D284" t="s">
        <v>54</v>
      </c>
      <c r="E284" t="s">
        <v>29</v>
      </c>
      <c r="F284">
        <v>1</v>
      </c>
      <c r="G284">
        <v>208.2</v>
      </c>
      <c r="H284" t="s">
        <v>43</v>
      </c>
    </row>
    <row r="285" spans="1:8" x14ac:dyDescent="0.2">
      <c r="A285">
        <v>45518</v>
      </c>
      <c r="B285" t="s">
        <v>163</v>
      </c>
      <c r="C285" t="s">
        <v>33</v>
      </c>
      <c r="D285" t="s">
        <v>10</v>
      </c>
      <c r="E285" t="s">
        <v>11</v>
      </c>
      <c r="F285">
        <v>8</v>
      </c>
      <c r="G285">
        <v>167.69</v>
      </c>
      <c r="H285" t="s">
        <v>43</v>
      </c>
    </row>
    <row r="286" spans="1:8" x14ac:dyDescent="0.2">
      <c r="A286">
        <v>45579</v>
      </c>
      <c r="B286" t="s">
        <v>93</v>
      </c>
      <c r="C286" t="s">
        <v>33</v>
      </c>
      <c r="D286" t="s">
        <v>57</v>
      </c>
      <c r="E286" t="s">
        <v>19</v>
      </c>
      <c r="F286">
        <v>2</v>
      </c>
      <c r="G286">
        <v>388.62</v>
      </c>
      <c r="H286" t="s">
        <v>43</v>
      </c>
    </row>
    <row r="287" spans="1:8" x14ac:dyDescent="0.2">
      <c r="A287">
        <v>45317</v>
      </c>
      <c r="B287" t="s">
        <v>65</v>
      </c>
      <c r="C287" t="s">
        <v>14</v>
      </c>
      <c r="D287" t="s">
        <v>40</v>
      </c>
      <c r="E287" t="s">
        <v>16</v>
      </c>
      <c r="F287">
        <v>4</v>
      </c>
      <c r="G287">
        <v>78.87</v>
      </c>
      <c r="H287" t="s">
        <v>20</v>
      </c>
    </row>
    <row r="288" spans="1:8" x14ac:dyDescent="0.2">
      <c r="A288">
        <v>45533</v>
      </c>
      <c r="B288" t="s">
        <v>70</v>
      </c>
      <c r="C288" t="s">
        <v>22</v>
      </c>
      <c r="D288" t="s">
        <v>52</v>
      </c>
      <c r="E288" t="s">
        <v>35</v>
      </c>
      <c r="F288">
        <v>9</v>
      </c>
      <c r="G288">
        <v>587.85</v>
      </c>
      <c r="H288" t="s">
        <v>12</v>
      </c>
    </row>
    <row r="289" spans="1:8" x14ac:dyDescent="0.2">
      <c r="A289">
        <v>45535</v>
      </c>
      <c r="B289" t="s">
        <v>124</v>
      </c>
      <c r="C289" t="s">
        <v>22</v>
      </c>
      <c r="D289" t="s">
        <v>54</v>
      </c>
      <c r="E289" t="s">
        <v>16</v>
      </c>
      <c r="F289">
        <v>6</v>
      </c>
      <c r="G289">
        <v>206.98</v>
      </c>
      <c r="H289" t="s">
        <v>12</v>
      </c>
    </row>
    <row r="290" spans="1:8" x14ac:dyDescent="0.2">
      <c r="A290">
        <v>45337</v>
      </c>
      <c r="B290" t="s">
        <v>117</v>
      </c>
      <c r="C290" t="s">
        <v>14</v>
      </c>
      <c r="D290" t="s">
        <v>40</v>
      </c>
      <c r="E290" t="s">
        <v>16</v>
      </c>
      <c r="F290">
        <v>9</v>
      </c>
      <c r="G290">
        <v>456.28</v>
      </c>
      <c r="H290" t="s">
        <v>12</v>
      </c>
    </row>
    <row r="291" spans="1:8" x14ac:dyDescent="0.2">
      <c r="A291">
        <v>45381</v>
      </c>
      <c r="B291" t="s">
        <v>195</v>
      </c>
      <c r="C291" t="s">
        <v>22</v>
      </c>
      <c r="D291" t="s">
        <v>75</v>
      </c>
      <c r="E291" t="s">
        <v>35</v>
      </c>
      <c r="F291">
        <v>7</v>
      </c>
      <c r="G291">
        <v>483.38</v>
      </c>
      <c r="H291" t="s">
        <v>12</v>
      </c>
    </row>
    <row r="292" spans="1:8" x14ac:dyDescent="0.2">
      <c r="A292">
        <v>45440</v>
      </c>
      <c r="B292" t="s">
        <v>91</v>
      </c>
      <c r="C292" t="s">
        <v>9</v>
      </c>
      <c r="D292" t="s">
        <v>54</v>
      </c>
      <c r="E292" t="s">
        <v>16</v>
      </c>
      <c r="F292">
        <v>10</v>
      </c>
      <c r="G292">
        <v>381.53</v>
      </c>
      <c r="H292" t="s">
        <v>20</v>
      </c>
    </row>
    <row r="293" spans="1:8" x14ac:dyDescent="0.2">
      <c r="A293">
        <v>45620</v>
      </c>
      <c r="B293" t="s">
        <v>82</v>
      </c>
      <c r="C293" t="s">
        <v>14</v>
      </c>
      <c r="D293" t="s">
        <v>47</v>
      </c>
      <c r="E293" t="s">
        <v>35</v>
      </c>
      <c r="F293">
        <v>3</v>
      </c>
      <c r="G293">
        <v>518.08000000000004</v>
      </c>
      <c r="H293" t="s">
        <v>20</v>
      </c>
    </row>
    <row r="294" spans="1:8" x14ac:dyDescent="0.2">
      <c r="A294">
        <v>45349</v>
      </c>
      <c r="B294" t="s">
        <v>177</v>
      </c>
      <c r="C294" t="s">
        <v>22</v>
      </c>
      <c r="D294" t="s">
        <v>10</v>
      </c>
      <c r="E294" t="s">
        <v>11</v>
      </c>
      <c r="F294">
        <v>8</v>
      </c>
      <c r="G294">
        <v>406.56</v>
      </c>
      <c r="H294" t="s">
        <v>43</v>
      </c>
    </row>
    <row r="295" spans="1:8" x14ac:dyDescent="0.2">
      <c r="A295">
        <v>45464</v>
      </c>
      <c r="B295" t="s">
        <v>146</v>
      </c>
      <c r="C295" t="s">
        <v>14</v>
      </c>
      <c r="D295" t="s">
        <v>97</v>
      </c>
      <c r="E295" t="s">
        <v>16</v>
      </c>
      <c r="F295">
        <v>4</v>
      </c>
      <c r="G295">
        <v>146.52000000000001</v>
      </c>
      <c r="H295" t="s">
        <v>43</v>
      </c>
    </row>
    <row r="296" spans="1:8" x14ac:dyDescent="0.2">
      <c r="A296">
        <v>45510</v>
      </c>
      <c r="B296" t="s">
        <v>160</v>
      </c>
      <c r="C296" t="s">
        <v>33</v>
      </c>
      <c r="D296" t="s">
        <v>34</v>
      </c>
      <c r="E296" t="s">
        <v>35</v>
      </c>
      <c r="F296">
        <v>7</v>
      </c>
      <c r="G296">
        <v>418.09</v>
      </c>
      <c r="H296" t="s">
        <v>12</v>
      </c>
    </row>
    <row r="297" spans="1:8" x14ac:dyDescent="0.2">
      <c r="A297">
        <v>45536</v>
      </c>
      <c r="B297" t="s">
        <v>196</v>
      </c>
      <c r="C297" t="s">
        <v>22</v>
      </c>
      <c r="D297" t="s">
        <v>52</v>
      </c>
      <c r="E297" t="s">
        <v>35</v>
      </c>
      <c r="F297">
        <v>5</v>
      </c>
      <c r="G297">
        <v>260.97000000000003</v>
      </c>
      <c r="H297" t="s">
        <v>20</v>
      </c>
    </row>
    <row r="298" spans="1:8" x14ac:dyDescent="0.2">
      <c r="A298">
        <v>45460</v>
      </c>
      <c r="B298" t="s">
        <v>161</v>
      </c>
      <c r="C298" t="s">
        <v>14</v>
      </c>
      <c r="D298" t="s">
        <v>10</v>
      </c>
      <c r="E298" t="s">
        <v>11</v>
      </c>
      <c r="F298">
        <v>10</v>
      </c>
      <c r="G298">
        <v>56.29</v>
      </c>
      <c r="H298" t="s">
        <v>43</v>
      </c>
    </row>
    <row r="299" spans="1:8" x14ac:dyDescent="0.2">
      <c r="A299">
        <v>45412</v>
      </c>
      <c r="B299" t="s">
        <v>64</v>
      </c>
      <c r="C299" t="s">
        <v>9</v>
      </c>
      <c r="D299" t="s">
        <v>62</v>
      </c>
      <c r="E299" t="s">
        <v>35</v>
      </c>
      <c r="F299">
        <v>5</v>
      </c>
      <c r="G299">
        <v>137.84</v>
      </c>
      <c r="H299" t="s">
        <v>43</v>
      </c>
    </row>
    <row r="300" spans="1:8" x14ac:dyDescent="0.2">
      <c r="A300">
        <v>45451</v>
      </c>
      <c r="B300" t="s">
        <v>39</v>
      </c>
      <c r="C300" t="s">
        <v>9</v>
      </c>
      <c r="D300" t="s">
        <v>71</v>
      </c>
      <c r="E300" t="s">
        <v>16</v>
      </c>
      <c r="F300">
        <v>5</v>
      </c>
      <c r="G300">
        <v>252.15</v>
      </c>
      <c r="H300" t="s">
        <v>12</v>
      </c>
    </row>
    <row r="301" spans="1:8" x14ac:dyDescent="0.2">
      <c r="A301">
        <v>45360</v>
      </c>
      <c r="B301" t="s">
        <v>124</v>
      </c>
      <c r="C301" t="s">
        <v>22</v>
      </c>
      <c r="D301" t="s">
        <v>62</v>
      </c>
      <c r="E301" t="s">
        <v>35</v>
      </c>
      <c r="F301">
        <v>10</v>
      </c>
      <c r="G301">
        <v>255.49</v>
      </c>
      <c r="H301" t="s">
        <v>43</v>
      </c>
    </row>
    <row r="302" spans="1:8" x14ac:dyDescent="0.2">
      <c r="A302">
        <v>45533</v>
      </c>
      <c r="B302" t="s">
        <v>197</v>
      </c>
      <c r="C302" t="s">
        <v>14</v>
      </c>
      <c r="D302" t="s">
        <v>97</v>
      </c>
      <c r="E302" t="s">
        <v>16</v>
      </c>
      <c r="F302">
        <v>4</v>
      </c>
      <c r="G302">
        <v>469.02</v>
      </c>
      <c r="H302" t="s">
        <v>43</v>
      </c>
    </row>
    <row r="303" spans="1:8" x14ac:dyDescent="0.2">
      <c r="A303">
        <v>45333</v>
      </c>
      <c r="B303" t="s">
        <v>174</v>
      </c>
      <c r="C303" t="s">
        <v>27</v>
      </c>
      <c r="D303" t="s">
        <v>56</v>
      </c>
      <c r="E303" t="s">
        <v>29</v>
      </c>
      <c r="F303">
        <v>6</v>
      </c>
      <c r="G303">
        <v>92.96</v>
      </c>
      <c r="H303" t="s">
        <v>43</v>
      </c>
    </row>
    <row r="304" spans="1:8" x14ac:dyDescent="0.2">
      <c r="A304">
        <v>45572</v>
      </c>
      <c r="B304" t="s">
        <v>198</v>
      </c>
      <c r="C304" t="s">
        <v>22</v>
      </c>
      <c r="D304" t="s">
        <v>78</v>
      </c>
      <c r="E304" t="s">
        <v>50</v>
      </c>
      <c r="F304">
        <v>9</v>
      </c>
      <c r="G304">
        <v>132.41999999999999</v>
      </c>
      <c r="H304" t="s">
        <v>20</v>
      </c>
    </row>
    <row r="305" spans="1:8" x14ac:dyDescent="0.2">
      <c r="A305">
        <v>45518</v>
      </c>
      <c r="B305" t="s">
        <v>92</v>
      </c>
      <c r="C305" t="s">
        <v>22</v>
      </c>
      <c r="D305" t="s">
        <v>23</v>
      </c>
      <c r="E305" t="s">
        <v>11</v>
      </c>
      <c r="F305">
        <v>10</v>
      </c>
      <c r="G305">
        <v>318.86</v>
      </c>
      <c r="H305" t="s">
        <v>43</v>
      </c>
    </row>
    <row r="306" spans="1:8" x14ac:dyDescent="0.2">
      <c r="A306">
        <v>45320</v>
      </c>
      <c r="B306" t="s">
        <v>141</v>
      </c>
      <c r="C306" t="s">
        <v>22</v>
      </c>
      <c r="D306" t="s">
        <v>56</v>
      </c>
      <c r="E306" t="s">
        <v>38</v>
      </c>
      <c r="F306">
        <v>7</v>
      </c>
      <c r="G306">
        <v>301.24</v>
      </c>
      <c r="H306" t="s">
        <v>12</v>
      </c>
    </row>
    <row r="307" spans="1:8" x14ac:dyDescent="0.2">
      <c r="A307">
        <v>45449</v>
      </c>
      <c r="B307" t="s">
        <v>199</v>
      </c>
      <c r="C307" t="s">
        <v>9</v>
      </c>
      <c r="D307" t="s">
        <v>25</v>
      </c>
      <c r="E307" t="s">
        <v>16</v>
      </c>
      <c r="F307">
        <v>5</v>
      </c>
      <c r="G307">
        <v>499.05</v>
      </c>
      <c r="H307" t="s">
        <v>43</v>
      </c>
    </row>
    <row r="308" spans="1:8" x14ac:dyDescent="0.2">
      <c r="A308">
        <v>45329</v>
      </c>
      <c r="B308" t="s">
        <v>142</v>
      </c>
      <c r="C308" t="s">
        <v>27</v>
      </c>
      <c r="D308" t="s">
        <v>31</v>
      </c>
      <c r="E308" t="s">
        <v>16</v>
      </c>
      <c r="F308">
        <v>2</v>
      </c>
      <c r="G308">
        <v>347.64</v>
      </c>
      <c r="H308" t="s">
        <v>12</v>
      </c>
    </row>
    <row r="309" spans="1:8" x14ac:dyDescent="0.2">
      <c r="A309">
        <v>45327</v>
      </c>
      <c r="B309" t="s">
        <v>139</v>
      </c>
      <c r="C309" t="s">
        <v>9</v>
      </c>
      <c r="D309" t="s">
        <v>54</v>
      </c>
      <c r="E309" t="s">
        <v>16</v>
      </c>
      <c r="F309">
        <v>7</v>
      </c>
      <c r="G309">
        <v>148.99</v>
      </c>
      <c r="H309" t="s">
        <v>12</v>
      </c>
    </row>
    <row r="310" spans="1:8" x14ac:dyDescent="0.2">
      <c r="A310">
        <v>45622</v>
      </c>
      <c r="B310" t="s">
        <v>155</v>
      </c>
      <c r="C310" t="s">
        <v>33</v>
      </c>
      <c r="D310" t="s">
        <v>25</v>
      </c>
      <c r="E310" t="s">
        <v>16</v>
      </c>
      <c r="F310">
        <v>8</v>
      </c>
      <c r="G310">
        <v>528.29</v>
      </c>
      <c r="H310" t="s">
        <v>20</v>
      </c>
    </row>
    <row r="311" spans="1:8" x14ac:dyDescent="0.2">
      <c r="A311">
        <v>45568</v>
      </c>
      <c r="B311" t="s">
        <v>83</v>
      </c>
      <c r="C311" t="s">
        <v>33</v>
      </c>
      <c r="D311" t="s">
        <v>68</v>
      </c>
      <c r="E311" t="s">
        <v>35</v>
      </c>
      <c r="F311">
        <v>3</v>
      </c>
      <c r="G311">
        <v>596.07000000000005</v>
      </c>
      <c r="H311" t="s">
        <v>20</v>
      </c>
    </row>
    <row r="312" spans="1:8" x14ac:dyDescent="0.2">
      <c r="A312">
        <v>45406</v>
      </c>
      <c r="B312" t="s">
        <v>58</v>
      </c>
      <c r="C312" t="s">
        <v>9</v>
      </c>
      <c r="D312" t="s">
        <v>54</v>
      </c>
      <c r="E312" t="s">
        <v>16</v>
      </c>
      <c r="F312">
        <v>8</v>
      </c>
      <c r="G312">
        <v>420.42</v>
      </c>
      <c r="H312" t="s">
        <v>43</v>
      </c>
    </row>
    <row r="313" spans="1:8" x14ac:dyDescent="0.2">
      <c r="A313">
        <v>45486</v>
      </c>
      <c r="B313" t="s">
        <v>200</v>
      </c>
      <c r="C313" t="s">
        <v>22</v>
      </c>
      <c r="D313" t="s">
        <v>62</v>
      </c>
      <c r="E313" t="s">
        <v>35</v>
      </c>
      <c r="F313">
        <v>6</v>
      </c>
      <c r="G313">
        <v>135.32</v>
      </c>
      <c r="H313" t="s">
        <v>12</v>
      </c>
    </row>
    <row r="314" spans="1:8" x14ac:dyDescent="0.2">
      <c r="A314">
        <v>45349</v>
      </c>
      <c r="B314" t="s">
        <v>129</v>
      </c>
      <c r="C314" t="s">
        <v>27</v>
      </c>
      <c r="D314" t="s">
        <v>49</v>
      </c>
      <c r="E314" t="s">
        <v>29</v>
      </c>
      <c r="F314">
        <v>1</v>
      </c>
      <c r="G314">
        <v>182.37</v>
      </c>
      <c r="H314" t="s">
        <v>12</v>
      </c>
    </row>
    <row r="315" spans="1:8" x14ac:dyDescent="0.2">
      <c r="A315">
        <v>45309</v>
      </c>
      <c r="B315" t="s">
        <v>103</v>
      </c>
      <c r="C315" t="s">
        <v>14</v>
      </c>
      <c r="D315" t="s">
        <v>97</v>
      </c>
      <c r="E315" t="s">
        <v>16</v>
      </c>
      <c r="F315">
        <v>1</v>
      </c>
      <c r="G315">
        <v>184.6</v>
      </c>
      <c r="H315" t="s">
        <v>12</v>
      </c>
    </row>
    <row r="316" spans="1:8" x14ac:dyDescent="0.2">
      <c r="A316">
        <v>45411</v>
      </c>
      <c r="B316" t="s">
        <v>201</v>
      </c>
      <c r="C316" t="s">
        <v>22</v>
      </c>
      <c r="D316" t="s">
        <v>75</v>
      </c>
      <c r="E316" t="s">
        <v>35</v>
      </c>
      <c r="F316">
        <v>3</v>
      </c>
      <c r="G316">
        <v>327.14</v>
      </c>
      <c r="H316" t="s">
        <v>20</v>
      </c>
    </row>
    <row r="317" spans="1:8" x14ac:dyDescent="0.2">
      <c r="A317">
        <v>45586</v>
      </c>
      <c r="B317" t="s">
        <v>202</v>
      </c>
      <c r="C317" t="s">
        <v>14</v>
      </c>
      <c r="D317" t="s">
        <v>49</v>
      </c>
      <c r="E317" t="s">
        <v>50</v>
      </c>
      <c r="F317">
        <v>6</v>
      </c>
      <c r="G317">
        <v>180.3</v>
      </c>
      <c r="H317" t="s">
        <v>12</v>
      </c>
    </row>
    <row r="318" spans="1:8" x14ac:dyDescent="0.2">
      <c r="A318">
        <v>45558</v>
      </c>
      <c r="B318" t="s">
        <v>154</v>
      </c>
      <c r="C318" t="s">
        <v>27</v>
      </c>
      <c r="D318" t="s">
        <v>54</v>
      </c>
      <c r="E318" t="s">
        <v>16</v>
      </c>
      <c r="F318">
        <v>5</v>
      </c>
      <c r="G318">
        <v>83.53</v>
      </c>
      <c r="H318" t="s">
        <v>43</v>
      </c>
    </row>
    <row r="319" spans="1:8" x14ac:dyDescent="0.2">
      <c r="A319">
        <v>45381</v>
      </c>
      <c r="B319" t="s">
        <v>30</v>
      </c>
      <c r="C319" t="s">
        <v>27</v>
      </c>
      <c r="D319" t="s">
        <v>28</v>
      </c>
      <c r="E319" t="s">
        <v>38</v>
      </c>
      <c r="F319">
        <v>8</v>
      </c>
      <c r="G319">
        <v>75.790000000000006</v>
      </c>
      <c r="H319" t="s">
        <v>20</v>
      </c>
    </row>
    <row r="320" spans="1:8" x14ac:dyDescent="0.2">
      <c r="A320">
        <v>45487</v>
      </c>
      <c r="B320" t="s">
        <v>174</v>
      </c>
      <c r="C320" t="s">
        <v>33</v>
      </c>
      <c r="D320" t="s">
        <v>23</v>
      </c>
      <c r="E320" t="s">
        <v>11</v>
      </c>
      <c r="F320">
        <v>7</v>
      </c>
      <c r="G320">
        <v>274.54000000000002</v>
      </c>
      <c r="H320" t="s">
        <v>20</v>
      </c>
    </row>
    <row r="321" spans="1:8" x14ac:dyDescent="0.2">
      <c r="A321">
        <v>45567</v>
      </c>
      <c r="B321" t="s">
        <v>96</v>
      </c>
      <c r="C321" t="s">
        <v>22</v>
      </c>
      <c r="D321" t="s">
        <v>40</v>
      </c>
      <c r="E321" t="s">
        <v>16</v>
      </c>
      <c r="F321">
        <v>5</v>
      </c>
      <c r="G321">
        <v>521.65</v>
      </c>
      <c r="H321" t="s">
        <v>12</v>
      </c>
    </row>
    <row r="322" spans="1:8" x14ac:dyDescent="0.2">
      <c r="A322">
        <v>45321</v>
      </c>
      <c r="B322" t="s">
        <v>167</v>
      </c>
      <c r="C322" t="s">
        <v>27</v>
      </c>
      <c r="D322" t="s">
        <v>15</v>
      </c>
      <c r="E322" t="s">
        <v>16</v>
      </c>
      <c r="F322">
        <v>9</v>
      </c>
      <c r="G322">
        <v>341.5</v>
      </c>
      <c r="H322" t="s">
        <v>20</v>
      </c>
    </row>
    <row r="323" spans="1:8" x14ac:dyDescent="0.2">
      <c r="A323">
        <v>45396</v>
      </c>
      <c r="B323" t="s">
        <v>177</v>
      </c>
      <c r="C323" t="s">
        <v>9</v>
      </c>
      <c r="D323" t="s">
        <v>62</v>
      </c>
      <c r="E323" t="s">
        <v>35</v>
      </c>
      <c r="F323">
        <v>6</v>
      </c>
      <c r="G323">
        <v>100.86</v>
      </c>
      <c r="H323" t="s">
        <v>43</v>
      </c>
    </row>
    <row r="324" spans="1:8" x14ac:dyDescent="0.2">
      <c r="A324">
        <v>45318</v>
      </c>
      <c r="B324" t="s">
        <v>89</v>
      </c>
      <c r="C324" t="s">
        <v>27</v>
      </c>
      <c r="D324" t="s">
        <v>97</v>
      </c>
      <c r="E324" t="s">
        <v>16</v>
      </c>
      <c r="F324">
        <v>10</v>
      </c>
      <c r="G324">
        <v>381.61</v>
      </c>
      <c r="H324" t="s">
        <v>12</v>
      </c>
    </row>
    <row r="325" spans="1:8" x14ac:dyDescent="0.2">
      <c r="A325">
        <v>45592</v>
      </c>
      <c r="B325" t="s">
        <v>199</v>
      </c>
      <c r="C325" t="s">
        <v>14</v>
      </c>
      <c r="D325" t="s">
        <v>18</v>
      </c>
      <c r="E325" t="s">
        <v>19</v>
      </c>
      <c r="F325">
        <v>8</v>
      </c>
      <c r="G325">
        <v>164.89</v>
      </c>
      <c r="H325" t="s">
        <v>20</v>
      </c>
    </row>
    <row r="326" spans="1:8" x14ac:dyDescent="0.2">
      <c r="A326">
        <v>45299</v>
      </c>
      <c r="B326" t="s">
        <v>44</v>
      </c>
      <c r="C326" t="s">
        <v>22</v>
      </c>
      <c r="D326" t="s">
        <v>10</v>
      </c>
      <c r="E326" t="s">
        <v>11</v>
      </c>
      <c r="F326">
        <v>2</v>
      </c>
      <c r="G326">
        <v>460.78</v>
      </c>
      <c r="H326" t="s">
        <v>20</v>
      </c>
    </row>
    <row r="327" spans="1:8" x14ac:dyDescent="0.2">
      <c r="A327">
        <v>45601</v>
      </c>
      <c r="B327" t="s">
        <v>106</v>
      </c>
      <c r="C327" t="s">
        <v>22</v>
      </c>
      <c r="D327" t="s">
        <v>25</v>
      </c>
      <c r="E327" t="s">
        <v>16</v>
      </c>
      <c r="F327">
        <v>4</v>
      </c>
      <c r="G327">
        <v>353.64</v>
      </c>
      <c r="H327" t="s">
        <v>20</v>
      </c>
    </row>
    <row r="328" spans="1:8" x14ac:dyDescent="0.2">
      <c r="A328">
        <v>45565</v>
      </c>
      <c r="B328" t="s">
        <v>117</v>
      </c>
      <c r="C328" t="s">
        <v>33</v>
      </c>
      <c r="D328" t="s">
        <v>54</v>
      </c>
      <c r="E328" t="s">
        <v>16</v>
      </c>
      <c r="F328">
        <v>5</v>
      </c>
      <c r="G328">
        <v>247.8</v>
      </c>
      <c r="H328" t="s">
        <v>20</v>
      </c>
    </row>
    <row r="329" spans="1:8" x14ac:dyDescent="0.2">
      <c r="A329">
        <v>45532</v>
      </c>
      <c r="B329" t="s">
        <v>21</v>
      </c>
      <c r="C329" t="s">
        <v>33</v>
      </c>
      <c r="D329" t="s">
        <v>18</v>
      </c>
      <c r="E329" t="s">
        <v>19</v>
      </c>
      <c r="F329">
        <v>6</v>
      </c>
      <c r="G329">
        <v>222.11</v>
      </c>
      <c r="H329" t="s">
        <v>12</v>
      </c>
    </row>
    <row r="330" spans="1:8" x14ac:dyDescent="0.2">
      <c r="A330">
        <v>45405</v>
      </c>
      <c r="B330" t="s">
        <v>203</v>
      </c>
      <c r="C330" t="s">
        <v>22</v>
      </c>
      <c r="D330" t="s">
        <v>52</v>
      </c>
      <c r="E330" t="s">
        <v>35</v>
      </c>
      <c r="F330">
        <v>5</v>
      </c>
      <c r="G330">
        <v>354.32</v>
      </c>
      <c r="H330" t="s">
        <v>43</v>
      </c>
    </row>
    <row r="331" spans="1:8" x14ac:dyDescent="0.2">
      <c r="A331">
        <v>45505</v>
      </c>
      <c r="B331" t="s">
        <v>146</v>
      </c>
      <c r="C331" t="s">
        <v>22</v>
      </c>
      <c r="D331" t="s">
        <v>18</v>
      </c>
      <c r="E331" t="s">
        <v>19</v>
      </c>
      <c r="F331">
        <v>6</v>
      </c>
      <c r="G331">
        <v>176.51</v>
      </c>
      <c r="H331" t="s">
        <v>43</v>
      </c>
    </row>
    <row r="332" spans="1:8" x14ac:dyDescent="0.2">
      <c r="A332">
        <v>45547</v>
      </c>
      <c r="B332" t="s">
        <v>204</v>
      </c>
      <c r="C332" t="s">
        <v>33</v>
      </c>
      <c r="D332" t="s">
        <v>42</v>
      </c>
      <c r="E332" t="s">
        <v>16</v>
      </c>
      <c r="F332">
        <v>8</v>
      </c>
      <c r="G332">
        <v>581.58000000000004</v>
      </c>
      <c r="H332" t="s">
        <v>43</v>
      </c>
    </row>
    <row r="333" spans="1:8" x14ac:dyDescent="0.2">
      <c r="A333">
        <v>45527</v>
      </c>
      <c r="B333" t="s">
        <v>147</v>
      </c>
      <c r="C333" t="s">
        <v>33</v>
      </c>
      <c r="D333" t="s">
        <v>88</v>
      </c>
      <c r="E333" t="s">
        <v>19</v>
      </c>
      <c r="F333">
        <v>3</v>
      </c>
      <c r="G333">
        <v>446.17</v>
      </c>
      <c r="H333" t="s">
        <v>20</v>
      </c>
    </row>
    <row r="334" spans="1:8" x14ac:dyDescent="0.2">
      <c r="A334">
        <v>45569</v>
      </c>
      <c r="B334" t="s">
        <v>205</v>
      </c>
      <c r="C334" t="s">
        <v>9</v>
      </c>
      <c r="D334" t="s">
        <v>56</v>
      </c>
      <c r="E334" t="s">
        <v>38</v>
      </c>
      <c r="F334">
        <v>1</v>
      </c>
      <c r="G334">
        <v>511.49</v>
      </c>
      <c r="H334" t="s">
        <v>12</v>
      </c>
    </row>
    <row r="335" spans="1:8" x14ac:dyDescent="0.2">
      <c r="A335">
        <v>45316</v>
      </c>
      <c r="B335" t="s">
        <v>127</v>
      </c>
      <c r="C335" t="s">
        <v>9</v>
      </c>
      <c r="D335" t="s">
        <v>15</v>
      </c>
      <c r="E335" t="s">
        <v>29</v>
      </c>
      <c r="F335">
        <v>3</v>
      </c>
      <c r="G335">
        <v>513.4</v>
      </c>
      <c r="H335" t="s">
        <v>12</v>
      </c>
    </row>
    <row r="336" spans="1:8" x14ac:dyDescent="0.2">
      <c r="A336">
        <v>45369</v>
      </c>
      <c r="B336" t="s">
        <v>80</v>
      </c>
      <c r="C336" t="s">
        <v>22</v>
      </c>
      <c r="D336" t="s">
        <v>56</v>
      </c>
      <c r="E336" t="s">
        <v>38</v>
      </c>
      <c r="F336">
        <v>8</v>
      </c>
      <c r="G336">
        <v>255.26</v>
      </c>
      <c r="H336" t="s">
        <v>43</v>
      </c>
    </row>
    <row r="337" spans="1:8" x14ac:dyDescent="0.2">
      <c r="A337">
        <v>45607</v>
      </c>
      <c r="B337" t="s">
        <v>150</v>
      </c>
      <c r="C337" t="s">
        <v>27</v>
      </c>
      <c r="D337" t="s">
        <v>52</v>
      </c>
      <c r="E337" t="s">
        <v>29</v>
      </c>
      <c r="F337">
        <v>1</v>
      </c>
      <c r="G337">
        <v>342.72</v>
      </c>
      <c r="H337" t="s">
        <v>20</v>
      </c>
    </row>
    <row r="338" spans="1:8" x14ac:dyDescent="0.2">
      <c r="A338">
        <v>45563</v>
      </c>
      <c r="B338" t="s">
        <v>178</v>
      </c>
      <c r="C338" t="s">
        <v>33</v>
      </c>
      <c r="D338" t="s">
        <v>28</v>
      </c>
      <c r="E338" t="s">
        <v>38</v>
      </c>
      <c r="F338">
        <v>5</v>
      </c>
      <c r="G338">
        <v>59.43</v>
      </c>
      <c r="H338" t="s">
        <v>43</v>
      </c>
    </row>
    <row r="339" spans="1:8" x14ac:dyDescent="0.2">
      <c r="A339">
        <v>45383</v>
      </c>
      <c r="B339" t="s">
        <v>206</v>
      </c>
      <c r="C339" t="s">
        <v>9</v>
      </c>
      <c r="D339" t="s">
        <v>56</v>
      </c>
      <c r="E339" t="s">
        <v>38</v>
      </c>
      <c r="F339">
        <v>3</v>
      </c>
      <c r="G339">
        <v>182.53</v>
      </c>
      <c r="H339" t="s">
        <v>43</v>
      </c>
    </row>
    <row r="340" spans="1:8" x14ac:dyDescent="0.2">
      <c r="A340">
        <v>45473</v>
      </c>
      <c r="B340" t="s">
        <v>89</v>
      </c>
      <c r="C340" t="s">
        <v>27</v>
      </c>
      <c r="D340" t="s">
        <v>34</v>
      </c>
      <c r="E340" t="s">
        <v>35</v>
      </c>
      <c r="F340">
        <v>6</v>
      </c>
      <c r="G340">
        <v>577.61</v>
      </c>
      <c r="H340" t="s">
        <v>20</v>
      </c>
    </row>
    <row r="341" spans="1:8" x14ac:dyDescent="0.2">
      <c r="A341">
        <v>45407</v>
      </c>
      <c r="B341" t="s">
        <v>126</v>
      </c>
      <c r="C341" t="s">
        <v>9</v>
      </c>
      <c r="D341" t="s">
        <v>71</v>
      </c>
      <c r="E341" t="s">
        <v>16</v>
      </c>
      <c r="F341">
        <v>1</v>
      </c>
      <c r="G341">
        <v>101.43</v>
      </c>
      <c r="H341" t="s">
        <v>20</v>
      </c>
    </row>
    <row r="342" spans="1:8" x14ac:dyDescent="0.2">
      <c r="A342">
        <v>45535</v>
      </c>
      <c r="B342" t="s">
        <v>207</v>
      </c>
      <c r="C342" t="s">
        <v>9</v>
      </c>
      <c r="D342" t="s">
        <v>23</v>
      </c>
      <c r="E342" t="s">
        <v>11</v>
      </c>
      <c r="F342">
        <v>3</v>
      </c>
      <c r="G342">
        <v>95.48</v>
      </c>
      <c r="H342" t="s">
        <v>20</v>
      </c>
    </row>
    <row r="343" spans="1:8" x14ac:dyDescent="0.2">
      <c r="A343">
        <v>45461</v>
      </c>
      <c r="B343" t="s">
        <v>113</v>
      </c>
      <c r="C343" t="s">
        <v>9</v>
      </c>
      <c r="D343" t="s">
        <v>56</v>
      </c>
      <c r="E343" t="s">
        <v>38</v>
      </c>
      <c r="F343">
        <v>1</v>
      </c>
      <c r="G343">
        <v>176.37</v>
      </c>
      <c r="H343" t="s">
        <v>43</v>
      </c>
    </row>
    <row r="344" spans="1:8" x14ac:dyDescent="0.2">
      <c r="A344">
        <v>45535</v>
      </c>
      <c r="B344" t="s">
        <v>105</v>
      </c>
      <c r="C344" t="s">
        <v>9</v>
      </c>
      <c r="D344" t="s">
        <v>34</v>
      </c>
      <c r="E344" t="s">
        <v>35</v>
      </c>
      <c r="F344">
        <v>5</v>
      </c>
      <c r="G344">
        <v>544.62</v>
      </c>
      <c r="H344" t="s">
        <v>43</v>
      </c>
    </row>
    <row r="345" spans="1:8" x14ac:dyDescent="0.2">
      <c r="A345">
        <v>45383</v>
      </c>
      <c r="B345" t="s">
        <v>41</v>
      </c>
      <c r="C345" t="s">
        <v>9</v>
      </c>
      <c r="D345" t="s">
        <v>18</v>
      </c>
      <c r="E345" t="s">
        <v>19</v>
      </c>
      <c r="F345">
        <v>10</v>
      </c>
      <c r="G345">
        <v>129.31</v>
      </c>
      <c r="H345" t="s">
        <v>43</v>
      </c>
    </row>
    <row r="346" spans="1:8" x14ac:dyDescent="0.2">
      <c r="A346">
        <v>45331</v>
      </c>
      <c r="B346" t="s">
        <v>126</v>
      </c>
      <c r="C346" t="s">
        <v>22</v>
      </c>
      <c r="D346" t="s">
        <v>78</v>
      </c>
      <c r="E346" t="s">
        <v>50</v>
      </c>
      <c r="F346">
        <v>4</v>
      </c>
      <c r="G346">
        <v>361.68</v>
      </c>
      <c r="H346" t="s">
        <v>20</v>
      </c>
    </row>
    <row r="347" spans="1:8" x14ac:dyDescent="0.2">
      <c r="A347">
        <v>45568</v>
      </c>
      <c r="B347" t="s">
        <v>177</v>
      </c>
      <c r="C347" t="s">
        <v>27</v>
      </c>
      <c r="D347" t="s">
        <v>10</v>
      </c>
      <c r="E347" t="s">
        <v>11</v>
      </c>
      <c r="F347">
        <v>3</v>
      </c>
      <c r="G347">
        <v>484.77</v>
      </c>
      <c r="H347" t="s">
        <v>43</v>
      </c>
    </row>
    <row r="348" spans="1:8" x14ac:dyDescent="0.2">
      <c r="A348">
        <v>45548</v>
      </c>
      <c r="B348" t="s">
        <v>185</v>
      </c>
      <c r="C348" t="s">
        <v>33</v>
      </c>
      <c r="D348" t="s">
        <v>75</v>
      </c>
      <c r="E348" t="s">
        <v>35</v>
      </c>
      <c r="F348">
        <v>2</v>
      </c>
      <c r="G348">
        <v>290.39999999999998</v>
      </c>
      <c r="H348" t="s">
        <v>12</v>
      </c>
    </row>
    <row r="349" spans="1:8" x14ac:dyDescent="0.2">
      <c r="A349">
        <v>45606</v>
      </c>
      <c r="B349" t="s">
        <v>102</v>
      </c>
      <c r="C349" t="s">
        <v>27</v>
      </c>
      <c r="D349" t="s">
        <v>59</v>
      </c>
      <c r="E349" t="s">
        <v>16</v>
      </c>
      <c r="F349">
        <v>1</v>
      </c>
      <c r="G349">
        <v>398.77</v>
      </c>
      <c r="H349" t="s">
        <v>20</v>
      </c>
    </row>
    <row r="350" spans="1:8" x14ac:dyDescent="0.2">
      <c r="A350">
        <v>45474</v>
      </c>
      <c r="B350" t="s">
        <v>128</v>
      </c>
      <c r="C350" t="s">
        <v>27</v>
      </c>
      <c r="D350" t="s">
        <v>15</v>
      </c>
      <c r="E350" t="s">
        <v>16</v>
      </c>
      <c r="F350">
        <v>3</v>
      </c>
      <c r="G350">
        <v>423.83</v>
      </c>
      <c r="H350" t="s">
        <v>43</v>
      </c>
    </row>
    <row r="351" spans="1:8" x14ac:dyDescent="0.2">
      <c r="A351">
        <v>45608</v>
      </c>
      <c r="B351" t="s">
        <v>146</v>
      </c>
      <c r="C351" t="s">
        <v>22</v>
      </c>
      <c r="D351" t="s">
        <v>23</v>
      </c>
      <c r="E351" t="s">
        <v>11</v>
      </c>
      <c r="F351">
        <v>2</v>
      </c>
      <c r="G351">
        <v>95.12</v>
      </c>
      <c r="H351" t="s">
        <v>12</v>
      </c>
    </row>
    <row r="352" spans="1:8" x14ac:dyDescent="0.2">
      <c r="A352">
        <v>45616</v>
      </c>
      <c r="B352" t="s">
        <v>164</v>
      </c>
      <c r="C352" t="s">
        <v>27</v>
      </c>
      <c r="D352" t="s">
        <v>59</v>
      </c>
      <c r="E352" t="s">
        <v>16</v>
      </c>
      <c r="F352">
        <v>6</v>
      </c>
      <c r="G352">
        <v>108.6</v>
      </c>
      <c r="H352" t="s">
        <v>12</v>
      </c>
    </row>
    <row r="353" spans="1:8" x14ac:dyDescent="0.2">
      <c r="A353">
        <v>45519</v>
      </c>
      <c r="B353" t="s">
        <v>156</v>
      </c>
      <c r="C353" t="s">
        <v>33</v>
      </c>
      <c r="D353" t="s">
        <v>68</v>
      </c>
      <c r="E353" t="s">
        <v>35</v>
      </c>
      <c r="F353">
        <v>3</v>
      </c>
      <c r="G353">
        <v>98.01</v>
      </c>
      <c r="H353" t="s">
        <v>20</v>
      </c>
    </row>
    <row r="354" spans="1:8" x14ac:dyDescent="0.2">
      <c r="A354">
        <v>45576</v>
      </c>
      <c r="B354" t="s">
        <v>160</v>
      </c>
      <c r="C354" t="s">
        <v>27</v>
      </c>
      <c r="D354" t="s">
        <v>68</v>
      </c>
      <c r="E354" t="s">
        <v>29</v>
      </c>
      <c r="F354">
        <v>1</v>
      </c>
      <c r="G354">
        <v>99.29</v>
      </c>
      <c r="H354" t="s">
        <v>43</v>
      </c>
    </row>
    <row r="355" spans="1:8" x14ac:dyDescent="0.2">
      <c r="A355">
        <v>45598</v>
      </c>
      <c r="B355" t="s">
        <v>66</v>
      </c>
      <c r="C355" t="s">
        <v>33</v>
      </c>
      <c r="D355" t="s">
        <v>25</v>
      </c>
      <c r="E355" t="s">
        <v>16</v>
      </c>
      <c r="F355">
        <v>1</v>
      </c>
      <c r="G355">
        <v>210.52</v>
      </c>
      <c r="H355" t="s">
        <v>20</v>
      </c>
    </row>
    <row r="356" spans="1:8" x14ac:dyDescent="0.2">
      <c r="A356">
        <v>45578</v>
      </c>
      <c r="B356" t="s">
        <v>98</v>
      </c>
      <c r="C356" t="s">
        <v>14</v>
      </c>
      <c r="D356" t="s">
        <v>56</v>
      </c>
      <c r="E356" t="s">
        <v>29</v>
      </c>
      <c r="F356">
        <v>3</v>
      </c>
      <c r="G356">
        <v>426.92</v>
      </c>
      <c r="H356" t="s">
        <v>12</v>
      </c>
    </row>
    <row r="357" spans="1:8" x14ac:dyDescent="0.2">
      <c r="A357">
        <v>45446</v>
      </c>
      <c r="B357" t="s">
        <v>89</v>
      </c>
      <c r="C357" t="s">
        <v>27</v>
      </c>
      <c r="D357" t="s">
        <v>57</v>
      </c>
      <c r="E357" t="s">
        <v>19</v>
      </c>
      <c r="F357">
        <v>2</v>
      </c>
      <c r="G357">
        <v>141.96</v>
      </c>
      <c r="H357" t="s">
        <v>20</v>
      </c>
    </row>
    <row r="358" spans="1:8" x14ac:dyDescent="0.2">
      <c r="A358">
        <v>45539</v>
      </c>
      <c r="B358" t="s">
        <v>66</v>
      </c>
      <c r="C358" t="s">
        <v>9</v>
      </c>
      <c r="D358" t="s">
        <v>31</v>
      </c>
      <c r="E358" t="s">
        <v>16</v>
      </c>
      <c r="F358">
        <v>5</v>
      </c>
      <c r="G358">
        <v>569.32000000000005</v>
      </c>
      <c r="H358" t="s">
        <v>43</v>
      </c>
    </row>
    <row r="359" spans="1:8" x14ac:dyDescent="0.2">
      <c r="A359">
        <v>45596</v>
      </c>
      <c r="B359" t="s">
        <v>94</v>
      </c>
      <c r="C359" t="s">
        <v>22</v>
      </c>
      <c r="D359" t="s">
        <v>62</v>
      </c>
      <c r="E359" t="s">
        <v>35</v>
      </c>
      <c r="F359">
        <v>2</v>
      </c>
      <c r="G359">
        <v>124.52</v>
      </c>
      <c r="H359" t="s">
        <v>12</v>
      </c>
    </row>
    <row r="360" spans="1:8" x14ac:dyDescent="0.2">
      <c r="A360">
        <v>45462</v>
      </c>
      <c r="B360" t="s">
        <v>145</v>
      </c>
      <c r="C360" t="s">
        <v>27</v>
      </c>
      <c r="D360" t="s">
        <v>59</v>
      </c>
      <c r="E360" t="s">
        <v>16</v>
      </c>
      <c r="F360">
        <v>8</v>
      </c>
      <c r="G360">
        <v>234.1</v>
      </c>
      <c r="H360" t="s">
        <v>43</v>
      </c>
    </row>
    <row r="361" spans="1:8" x14ac:dyDescent="0.2">
      <c r="A361">
        <v>45361</v>
      </c>
      <c r="B361" t="s">
        <v>126</v>
      </c>
      <c r="C361" t="s">
        <v>33</v>
      </c>
      <c r="D361" t="s">
        <v>49</v>
      </c>
      <c r="E361" t="s">
        <v>50</v>
      </c>
      <c r="F361">
        <v>4</v>
      </c>
      <c r="G361">
        <v>313.45999999999998</v>
      </c>
      <c r="H361" t="s">
        <v>12</v>
      </c>
    </row>
    <row r="362" spans="1:8" x14ac:dyDescent="0.2">
      <c r="A362">
        <v>45455</v>
      </c>
      <c r="B362" t="s">
        <v>123</v>
      </c>
      <c r="C362" t="s">
        <v>27</v>
      </c>
      <c r="D362" t="s">
        <v>78</v>
      </c>
      <c r="E362" t="s">
        <v>50</v>
      </c>
      <c r="F362">
        <v>4</v>
      </c>
      <c r="G362">
        <v>229.24</v>
      </c>
      <c r="H362" t="s">
        <v>20</v>
      </c>
    </row>
    <row r="363" spans="1:8" x14ac:dyDescent="0.2">
      <c r="A363">
        <v>45493</v>
      </c>
      <c r="B363" t="s">
        <v>36</v>
      </c>
      <c r="C363" t="s">
        <v>9</v>
      </c>
      <c r="D363" t="s">
        <v>78</v>
      </c>
      <c r="E363" t="s">
        <v>50</v>
      </c>
      <c r="F363">
        <v>4</v>
      </c>
      <c r="G363">
        <v>375.72</v>
      </c>
      <c r="H363" t="s">
        <v>43</v>
      </c>
    </row>
    <row r="364" spans="1:8" x14ac:dyDescent="0.2">
      <c r="A364">
        <v>45573</v>
      </c>
      <c r="B364" t="s">
        <v>17</v>
      </c>
      <c r="C364" t="s">
        <v>27</v>
      </c>
      <c r="D364" t="s">
        <v>23</v>
      </c>
      <c r="E364" t="s">
        <v>11</v>
      </c>
      <c r="F364">
        <v>4</v>
      </c>
      <c r="G364">
        <v>291.14999999999998</v>
      </c>
      <c r="H364" t="s">
        <v>20</v>
      </c>
    </row>
    <row r="365" spans="1:8" x14ac:dyDescent="0.2">
      <c r="A365">
        <v>45327</v>
      </c>
      <c r="B365" t="s">
        <v>87</v>
      </c>
      <c r="C365" t="s">
        <v>27</v>
      </c>
      <c r="D365" t="s">
        <v>57</v>
      </c>
      <c r="E365" t="s">
        <v>19</v>
      </c>
      <c r="F365">
        <v>5</v>
      </c>
      <c r="G365">
        <v>183.11</v>
      </c>
      <c r="H365" t="s">
        <v>43</v>
      </c>
    </row>
    <row r="366" spans="1:8" x14ac:dyDescent="0.2">
      <c r="A366">
        <v>45508</v>
      </c>
      <c r="B366" t="s">
        <v>208</v>
      </c>
      <c r="C366" t="s">
        <v>9</v>
      </c>
      <c r="D366" t="s">
        <v>62</v>
      </c>
      <c r="E366" t="s">
        <v>35</v>
      </c>
      <c r="F366">
        <v>10</v>
      </c>
      <c r="G366">
        <v>313.58</v>
      </c>
      <c r="H366" t="s">
        <v>20</v>
      </c>
    </row>
    <row r="367" spans="1:8" x14ac:dyDescent="0.2">
      <c r="A367">
        <v>45506</v>
      </c>
      <c r="B367" t="s">
        <v>82</v>
      </c>
      <c r="C367" t="s">
        <v>9</v>
      </c>
      <c r="D367" t="s">
        <v>31</v>
      </c>
      <c r="E367" t="s">
        <v>29</v>
      </c>
      <c r="F367">
        <v>9</v>
      </c>
      <c r="G367">
        <v>376.6</v>
      </c>
      <c r="H367" t="s">
        <v>12</v>
      </c>
    </row>
    <row r="368" spans="1:8" x14ac:dyDescent="0.2">
      <c r="A368">
        <v>45419</v>
      </c>
      <c r="B368" t="s">
        <v>79</v>
      </c>
      <c r="C368" t="s">
        <v>33</v>
      </c>
      <c r="D368" t="s">
        <v>88</v>
      </c>
      <c r="E368" t="s">
        <v>19</v>
      </c>
      <c r="F368">
        <v>10</v>
      </c>
      <c r="G368">
        <v>74.36</v>
      </c>
      <c r="H368" t="s">
        <v>43</v>
      </c>
    </row>
    <row r="369" spans="1:8" x14ac:dyDescent="0.2">
      <c r="A369">
        <v>45496</v>
      </c>
      <c r="B369" t="s">
        <v>209</v>
      </c>
      <c r="C369" t="s">
        <v>33</v>
      </c>
      <c r="D369" t="s">
        <v>15</v>
      </c>
      <c r="E369" t="s">
        <v>16</v>
      </c>
      <c r="F369">
        <v>2</v>
      </c>
      <c r="G369">
        <v>55.8</v>
      </c>
      <c r="H369" t="s">
        <v>20</v>
      </c>
    </row>
    <row r="370" spans="1:8" x14ac:dyDescent="0.2">
      <c r="A370">
        <v>45557</v>
      </c>
      <c r="B370" t="s">
        <v>101</v>
      </c>
      <c r="C370" t="s">
        <v>14</v>
      </c>
      <c r="D370" t="s">
        <v>23</v>
      </c>
      <c r="E370" t="s">
        <v>11</v>
      </c>
      <c r="F370">
        <v>10</v>
      </c>
      <c r="G370">
        <v>171.57</v>
      </c>
      <c r="H370" t="s">
        <v>20</v>
      </c>
    </row>
    <row r="371" spans="1:8" x14ac:dyDescent="0.2">
      <c r="A371">
        <v>45593</v>
      </c>
      <c r="B371" t="s">
        <v>39</v>
      </c>
      <c r="C371" t="s">
        <v>14</v>
      </c>
      <c r="D371" t="s">
        <v>57</v>
      </c>
      <c r="E371" t="s">
        <v>29</v>
      </c>
      <c r="F371">
        <v>6</v>
      </c>
      <c r="G371">
        <v>598.74</v>
      </c>
      <c r="H371" t="s">
        <v>20</v>
      </c>
    </row>
    <row r="372" spans="1:8" x14ac:dyDescent="0.2">
      <c r="A372">
        <v>45504</v>
      </c>
      <c r="B372" t="s">
        <v>210</v>
      </c>
      <c r="C372" t="s">
        <v>9</v>
      </c>
      <c r="D372" t="s">
        <v>10</v>
      </c>
      <c r="E372" t="s">
        <v>11</v>
      </c>
      <c r="F372">
        <v>3</v>
      </c>
      <c r="G372">
        <v>241.58</v>
      </c>
      <c r="H372" t="s">
        <v>20</v>
      </c>
    </row>
    <row r="373" spans="1:8" x14ac:dyDescent="0.2">
      <c r="A373">
        <v>45397</v>
      </c>
      <c r="B373" t="s">
        <v>211</v>
      </c>
      <c r="C373" t="s">
        <v>27</v>
      </c>
      <c r="D373" t="s">
        <v>31</v>
      </c>
      <c r="E373" t="s">
        <v>16</v>
      </c>
      <c r="F373">
        <v>8</v>
      </c>
      <c r="G373">
        <v>103.69</v>
      </c>
      <c r="H373" t="s">
        <v>43</v>
      </c>
    </row>
    <row r="374" spans="1:8" x14ac:dyDescent="0.2">
      <c r="A374">
        <v>45455</v>
      </c>
      <c r="B374" t="s">
        <v>116</v>
      </c>
      <c r="C374" t="s">
        <v>33</v>
      </c>
      <c r="D374" t="s">
        <v>75</v>
      </c>
      <c r="E374" t="s">
        <v>35</v>
      </c>
      <c r="F374">
        <v>2</v>
      </c>
      <c r="G374">
        <v>62.42</v>
      </c>
      <c r="H374" t="s">
        <v>20</v>
      </c>
    </row>
    <row r="375" spans="1:8" x14ac:dyDescent="0.2">
      <c r="A375">
        <v>45376</v>
      </c>
      <c r="B375" t="s">
        <v>203</v>
      </c>
      <c r="C375" t="s">
        <v>22</v>
      </c>
      <c r="D375" t="s">
        <v>56</v>
      </c>
      <c r="E375" t="s">
        <v>38</v>
      </c>
      <c r="F375">
        <v>3</v>
      </c>
      <c r="G375">
        <v>353.55</v>
      </c>
      <c r="H375" t="s">
        <v>20</v>
      </c>
    </row>
    <row r="376" spans="1:8" x14ac:dyDescent="0.2">
      <c r="A376">
        <v>45528</v>
      </c>
      <c r="B376" t="s">
        <v>212</v>
      </c>
      <c r="C376" t="s">
        <v>27</v>
      </c>
      <c r="D376" t="s">
        <v>71</v>
      </c>
      <c r="E376" t="s">
        <v>16</v>
      </c>
      <c r="F376">
        <v>3</v>
      </c>
      <c r="G376">
        <v>152.51</v>
      </c>
      <c r="H376" t="s">
        <v>43</v>
      </c>
    </row>
    <row r="377" spans="1:8" x14ac:dyDescent="0.2">
      <c r="A377">
        <v>45306</v>
      </c>
      <c r="B377" t="s">
        <v>213</v>
      </c>
      <c r="C377" t="s">
        <v>14</v>
      </c>
      <c r="D377" t="s">
        <v>18</v>
      </c>
      <c r="E377" t="s">
        <v>29</v>
      </c>
      <c r="F377">
        <v>8</v>
      </c>
      <c r="G377">
        <v>375.71</v>
      </c>
      <c r="H377" t="s">
        <v>20</v>
      </c>
    </row>
    <row r="378" spans="1:8" x14ac:dyDescent="0.2">
      <c r="A378">
        <v>45401</v>
      </c>
      <c r="B378" t="s">
        <v>107</v>
      </c>
      <c r="C378" t="s">
        <v>33</v>
      </c>
      <c r="D378" t="s">
        <v>23</v>
      </c>
      <c r="E378" t="s">
        <v>11</v>
      </c>
      <c r="F378">
        <v>2</v>
      </c>
      <c r="G378">
        <v>367.54</v>
      </c>
      <c r="H378" t="s">
        <v>43</v>
      </c>
    </row>
    <row r="379" spans="1:8" x14ac:dyDescent="0.2">
      <c r="A379">
        <v>45458</v>
      </c>
      <c r="B379" t="s">
        <v>214</v>
      </c>
      <c r="C379" t="s">
        <v>27</v>
      </c>
      <c r="D379" t="s">
        <v>68</v>
      </c>
      <c r="E379" t="s">
        <v>35</v>
      </c>
      <c r="F379">
        <v>5</v>
      </c>
      <c r="G379">
        <v>418.89</v>
      </c>
      <c r="H379" t="s">
        <v>20</v>
      </c>
    </row>
    <row r="380" spans="1:8" x14ac:dyDescent="0.2">
      <c r="A380">
        <v>45619</v>
      </c>
      <c r="B380" t="s">
        <v>41</v>
      </c>
      <c r="C380" t="s">
        <v>14</v>
      </c>
      <c r="D380" t="s">
        <v>25</v>
      </c>
      <c r="E380" t="s">
        <v>16</v>
      </c>
      <c r="F380">
        <v>10</v>
      </c>
      <c r="G380">
        <v>265.89999999999998</v>
      </c>
      <c r="H380" t="s">
        <v>12</v>
      </c>
    </row>
    <row r="381" spans="1:8" x14ac:dyDescent="0.2">
      <c r="A381">
        <v>45526</v>
      </c>
      <c r="B381" t="s">
        <v>145</v>
      </c>
      <c r="C381" t="s">
        <v>22</v>
      </c>
      <c r="D381" t="s">
        <v>97</v>
      </c>
      <c r="E381" t="s">
        <v>29</v>
      </c>
      <c r="F381">
        <v>5</v>
      </c>
      <c r="G381">
        <v>555.28</v>
      </c>
      <c r="H381" t="s">
        <v>43</v>
      </c>
    </row>
    <row r="382" spans="1:8" x14ac:dyDescent="0.2">
      <c r="A382">
        <v>45360</v>
      </c>
      <c r="B382" t="s">
        <v>41</v>
      </c>
      <c r="C382" t="s">
        <v>9</v>
      </c>
      <c r="D382" t="s">
        <v>40</v>
      </c>
      <c r="E382" t="s">
        <v>16</v>
      </c>
      <c r="F382">
        <v>5</v>
      </c>
      <c r="G382">
        <v>114.32</v>
      </c>
      <c r="H382" t="s">
        <v>20</v>
      </c>
    </row>
    <row r="383" spans="1:8" x14ac:dyDescent="0.2">
      <c r="A383">
        <v>45553</v>
      </c>
      <c r="B383" t="s">
        <v>108</v>
      </c>
      <c r="C383" t="s">
        <v>27</v>
      </c>
      <c r="D383" t="s">
        <v>49</v>
      </c>
      <c r="E383" t="s">
        <v>50</v>
      </c>
      <c r="F383">
        <v>3</v>
      </c>
      <c r="G383">
        <v>366.14</v>
      </c>
      <c r="H383" t="s">
        <v>20</v>
      </c>
    </row>
    <row r="384" spans="1:8" x14ac:dyDescent="0.2">
      <c r="A384">
        <v>45617</v>
      </c>
      <c r="B384" t="s">
        <v>45</v>
      </c>
      <c r="C384" t="s">
        <v>22</v>
      </c>
      <c r="D384" t="s">
        <v>28</v>
      </c>
      <c r="E384" t="s">
        <v>38</v>
      </c>
      <c r="F384">
        <v>3</v>
      </c>
      <c r="G384">
        <v>319.3</v>
      </c>
      <c r="H384" t="s">
        <v>12</v>
      </c>
    </row>
    <row r="385" spans="1:8" x14ac:dyDescent="0.2">
      <c r="A385">
        <v>45522</v>
      </c>
      <c r="B385" t="s">
        <v>145</v>
      </c>
      <c r="C385" t="s">
        <v>9</v>
      </c>
      <c r="D385" t="s">
        <v>31</v>
      </c>
      <c r="E385" t="s">
        <v>16</v>
      </c>
      <c r="F385">
        <v>1</v>
      </c>
      <c r="G385">
        <v>316.52999999999997</v>
      </c>
      <c r="H385" t="s">
        <v>12</v>
      </c>
    </row>
    <row r="386" spans="1:8" x14ac:dyDescent="0.2">
      <c r="A386">
        <v>45579</v>
      </c>
      <c r="B386" t="s">
        <v>198</v>
      </c>
      <c r="C386" t="s">
        <v>27</v>
      </c>
      <c r="D386" t="s">
        <v>15</v>
      </c>
      <c r="E386" t="s">
        <v>16</v>
      </c>
      <c r="F386">
        <v>8</v>
      </c>
      <c r="G386">
        <v>278.60000000000002</v>
      </c>
      <c r="H386" t="s">
        <v>20</v>
      </c>
    </row>
    <row r="387" spans="1:8" x14ac:dyDescent="0.2">
      <c r="A387">
        <v>45334</v>
      </c>
      <c r="B387" t="s">
        <v>113</v>
      </c>
      <c r="C387" t="s">
        <v>9</v>
      </c>
      <c r="D387" t="s">
        <v>40</v>
      </c>
      <c r="E387" t="s">
        <v>16</v>
      </c>
      <c r="F387">
        <v>5</v>
      </c>
      <c r="G387">
        <v>67.98</v>
      </c>
      <c r="H387" t="s">
        <v>12</v>
      </c>
    </row>
    <row r="388" spans="1:8" x14ac:dyDescent="0.2">
      <c r="A388">
        <v>45378</v>
      </c>
      <c r="B388" t="s">
        <v>100</v>
      </c>
      <c r="C388" t="s">
        <v>27</v>
      </c>
      <c r="D388" t="s">
        <v>78</v>
      </c>
      <c r="E388" t="s">
        <v>50</v>
      </c>
      <c r="F388">
        <v>8</v>
      </c>
      <c r="G388">
        <v>352.35</v>
      </c>
      <c r="H388" t="s">
        <v>12</v>
      </c>
    </row>
    <row r="389" spans="1:8" x14ac:dyDescent="0.2">
      <c r="A389">
        <v>45429</v>
      </c>
      <c r="B389" t="s">
        <v>170</v>
      </c>
      <c r="C389" t="s">
        <v>14</v>
      </c>
      <c r="D389" t="s">
        <v>31</v>
      </c>
      <c r="E389" t="s">
        <v>16</v>
      </c>
      <c r="F389">
        <v>9</v>
      </c>
      <c r="G389">
        <v>502.44</v>
      </c>
      <c r="H389" t="s">
        <v>12</v>
      </c>
    </row>
    <row r="390" spans="1:8" x14ac:dyDescent="0.2">
      <c r="A390">
        <v>45517</v>
      </c>
      <c r="B390" t="s">
        <v>82</v>
      </c>
      <c r="C390" t="s">
        <v>22</v>
      </c>
      <c r="D390" t="s">
        <v>15</v>
      </c>
      <c r="E390" t="s">
        <v>16</v>
      </c>
      <c r="F390">
        <v>2</v>
      </c>
      <c r="G390">
        <v>454.79</v>
      </c>
      <c r="H390" t="s">
        <v>43</v>
      </c>
    </row>
    <row r="391" spans="1:8" x14ac:dyDescent="0.2">
      <c r="A391">
        <v>45444</v>
      </c>
      <c r="B391" t="s">
        <v>129</v>
      </c>
      <c r="C391" t="s">
        <v>27</v>
      </c>
      <c r="D391" t="s">
        <v>42</v>
      </c>
      <c r="E391" t="s">
        <v>16</v>
      </c>
      <c r="F391">
        <v>6</v>
      </c>
      <c r="G391">
        <v>524.21</v>
      </c>
      <c r="H391" t="s">
        <v>12</v>
      </c>
    </row>
    <row r="392" spans="1:8" x14ac:dyDescent="0.2">
      <c r="A392">
        <v>45352</v>
      </c>
      <c r="B392" t="s">
        <v>170</v>
      </c>
      <c r="C392" t="s">
        <v>22</v>
      </c>
      <c r="D392" t="s">
        <v>18</v>
      </c>
      <c r="E392" t="s">
        <v>19</v>
      </c>
      <c r="F392">
        <v>10</v>
      </c>
      <c r="G392">
        <v>429.02</v>
      </c>
      <c r="H392" t="s">
        <v>43</v>
      </c>
    </row>
    <row r="393" spans="1:8" x14ac:dyDescent="0.2">
      <c r="A393">
        <v>45511</v>
      </c>
      <c r="B393" t="s">
        <v>72</v>
      </c>
      <c r="C393" t="s">
        <v>14</v>
      </c>
      <c r="D393" t="s">
        <v>57</v>
      </c>
      <c r="E393" t="s">
        <v>19</v>
      </c>
      <c r="F393">
        <v>4</v>
      </c>
      <c r="G393">
        <v>497.44</v>
      </c>
      <c r="H393" t="s">
        <v>12</v>
      </c>
    </row>
    <row r="394" spans="1:8" x14ac:dyDescent="0.2">
      <c r="A394">
        <v>45564</v>
      </c>
      <c r="B394" t="s">
        <v>133</v>
      </c>
      <c r="C394" t="s">
        <v>14</v>
      </c>
      <c r="D394" t="s">
        <v>28</v>
      </c>
      <c r="E394" t="s">
        <v>38</v>
      </c>
      <c r="F394">
        <v>3</v>
      </c>
      <c r="G394">
        <v>228.01</v>
      </c>
      <c r="H394" t="s">
        <v>43</v>
      </c>
    </row>
    <row r="395" spans="1:8" x14ac:dyDescent="0.2">
      <c r="A395">
        <v>45585</v>
      </c>
      <c r="B395" t="s">
        <v>89</v>
      </c>
      <c r="C395" t="s">
        <v>14</v>
      </c>
      <c r="D395" t="s">
        <v>97</v>
      </c>
      <c r="E395" t="s">
        <v>16</v>
      </c>
      <c r="F395">
        <v>2</v>
      </c>
      <c r="G395">
        <v>124.57</v>
      </c>
      <c r="H395" t="s">
        <v>20</v>
      </c>
    </row>
    <row r="396" spans="1:8" x14ac:dyDescent="0.2">
      <c r="A396">
        <v>45433</v>
      </c>
      <c r="B396" t="s">
        <v>163</v>
      </c>
      <c r="C396" t="s">
        <v>22</v>
      </c>
      <c r="D396" t="s">
        <v>23</v>
      </c>
      <c r="E396" t="s">
        <v>11</v>
      </c>
      <c r="F396">
        <v>3</v>
      </c>
      <c r="G396">
        <v>187.32</v>
      </c>
      <c r="H396" t="s">
        <v>43</v>
      </c>
    </row>
    <row r="397" spans="1:8" x14ac:dyDescent="0.2">
      <c r="A397">
        <v>45418</v>
      </c>
      <c r="B397" t="s">
        <v>21</v>
      </c>
      <c r="C397" t="s">
        <v>27</v>
      </c>
      <c r="D397" t="s">
        <v>47</v>
      </c>
      <c r="E397" t="s">
        <v>35</v>
      </c>
      <c r="F397">
        <v>3</v>
      </c>
      <c r="G397">
        <v>367.58</v>
      </c>
      <c r="H397" t="s">
        <v>20</v>
      </c>
    </row>
    <row r="398" spans="1:8" x14ac:dyDescent="0.2">
      <c r="A398">
        <v>45484</v>
      </c>
      <c r="B398" t="s">
        <v>176</v>
      </c>
      <c r="C398" t="s">
        <v>9</v>
      </c>
      <c r="D398" t="s">
        <v>71</v>
      </c>
      <c r="E398" t="s">
        <v>16</v>
      </c>
      <c r="F398">
        <v>2</v>
      </c>
      <c r="G398">
        <v>271.57</v>
      </c>
      <c r="H398" t="s">
        <v>43</v>
      </c>
    </row>
    <row r="399" spans="1:8" x14ac:dyDescent="0.2">
      <c r="A399">
        <v>45480</v>
      </c>
      <c r="B399" t="s">
        <v>141</v>
      </c>
      <c r="C399" t="s">
        <v>27</v>
      </c>
      <c r="D399" t="s">
        <v>59</v>
      </c>
      <c r="E399" t="s">
        <v>29</v>
      </c>
      <c r="F399">
        <v>10</v>
      </c>
      <c r="G399">
        <v>51.36</v>
      </c>
      <c r="H399" t="s">
        <v>43</v>
      </c>
    </row>
    <row r="400" spans="1:8" x14ac:dyDescent="0.2">
      <c r="A400">
        <v>45526</v>
      </c>
      <c r="B400" t="s">
        <v>215</v>
      </c>
      <c r="C400" t="s">
        <v>33</v>
      </c>
      <c r="D400" t="s">
        <v>34</v>
      </c>
      <c r="E400" t="s">
        <v>35</v>
      </c>
      <c r="F400">
        <v>9</v>
      </c>
      <c r="G400">
        <v>268.74</v>
      </c>
      <c r="H400" t="s">
        <v>20</v>
      </c>
    </row>
    <row r="401" spans="1:8" x14ac:dyDescent="0.2">
      <c r="A401">
        <v>45545</v>
      </c>
      <c r="B401" t="s">
        <v>89</v>
      </c>
      <c r="C401" t="s">
        <v>33</v>
      </c>
      <c r="D401" t="s">
        <v>54</v>
      </c>
      <c r="E401" t="s">
        <v>16</v>
      </c>
      <c r="F401">
        <v>6</v>
      </c>
      <c r="G401">
        <v>351.02</v>
      </c>
      <c r="H401" t="s">
        <v>12</v>
      </c>
    </row>
    <row r="402" spans="1:8" x14ac:dyDescent="0.2">
      <c r="A402">
        <v>45540</v>
      </c>
      <c r="B402" t="s">
        <v>53</v>
      </c>
      <c r="C402" t="s">
        <v>9</v>
      </c>
      <c r="D402" t="s">
        <v>75</v>
      </c>
      <c r="E402" t="s">
        <v>29</v>
      </c>
      <c r="F402">
        <v>2</v>
      </c>
      <c r="G402">
        <v>394.4</v>
      </c>
      <c r="H402" t="s">
        <v>20</v>
      </c>
    </row>
    <row r="403" spans="1:8" x14ac:dyDescent="0.2">
      <c r="A403">
        <v>45372</v>
      </c>
      <c r="B403" t="s">
        <v>151</v>
      </c>
      <c r="C403" t="s">
        <v>27</v>
      </c>
      <c r="D403" t="s">
        <v>52</v>
      </c>
      <c r="E403" t="s">
        <v>35</v>
      </c>
      <c r="F403">
        <v>7</v>
      </c>
      <c r="G403">
        <v>161.28</v>
      </c>
      <c r="H403" t="s">
        <v>43</v>
      </c>
    </row>
    <row r="404" spans="1:8" x14ac:dyDescent="0.2">
      <c r="A404">
        <v>45446</v>
      </c>
      <c r="B404" t="s">
        <v>76</v>
      </c>
      <c r="C404" t="s">
        <v>33</v>
      </c>
      <c r="D404" t="s">
        <v>34</v>
      </c>
      <c r="E404" t="s">
        <v>35</v>
      </c>
      <c r="F404">
        <v>6</v>
      </c>
      <c r="G404">
        <v>187.71</v>
      </c>
      <c r="H404" t="s">
        <v>20</v>
      </c>
    </row>
    <row r="405" spans="1:8" x14ac:dyDescent="0.2">
      <c r="A405">
        <v>45376</v>
      </c>
      <c r="B405" t="s">
        <v>111</v>
      </c>
      <c r="C405" t="s">
        <v>27</v>
      </c>
      <c r="D405" t="s">
        <v>71</v>
      </c>
      <c r="E405" t="s">
        <v>16</v>
      </c>
      <c r="F405">
        <v>5</v>
      </c>
      <c r="G405">
        <v>449.29</v>
      </c>
      <c r="H405" t="s">
        <v>12</v>
      </c>
    </row>
    <row r="406" spans="1:8" x14ac:dyDescent="0.2">
      <c r="A406">
        <v>45338</v>
      </c>
      <c r="B406" t="s">
        <v>106</v>
      </c>
      <c r="C406" t="s">
        <v>9</v>
      </c>
      <c r="D406" t="s">
        <v>52</v>
      </c>
      <c r="E406" t="s">
        <v>35</v>
      </c>
      <c r="F406">
        <v>4</v>
      </c>
      <c r="G406">
        <v>312.24</v>
      </c>
      <c r="H406" t="s">
        <v>12</v>
      </c>
    </row>
    <row r="407" spans="1:8" x14ac:dyDescent="0.2">
      <c r="A407">
        <v>45557</v>
      </c>
      <c r="B407" t="s">
        <v>48</v>
      </c>
      <c r="C407" t="s">
        <v>27</v>
      </c>
      <c r="D407" t="s">
        <v>52</v>
      </c>
      <c r="E407" t="s">
        <v>35</v>
      </c>
      <c r="F407">
        <v>1</v>
      </c>
      <c r="G407">
        <v>432.58</v>
      </c>
      <c r="H407" t="s">
        <v>12</v>
      </c>
    </row>
    <row r="408" spans="1:8" x14ac:dyDescent="0.2">
      <c r="A408">
        <v>45508</v>
      </c>
      <c r="B408" t="s">
        <v>216</v>
      </c>
      <c r="C408" t="s">
        <v>22</v>
      </c>
      <c r="D408" t="s">
        <v>47</v>
      </c>
      <c r="E408" t="s">
        <v>35</v>
      </c>
      <c r="F408">
        <v>2</v>
      </c>
      <c r="G408">
        <v>175.92</v>
      </c>
      <c r="H408" t="s">
        <v>12</v>
      </c>
    </row>
    <row r="409" spans="1:8" x14ac:dyDescent="0.2">
      <c r="A409">
        <v>45344</v>
      </c>
      <c r="B409" t="s">
        <v>24</v>
      </c>
      <c r="C409" t="s">
        <v>33</v>
      </c>
      <c r="D409" t="s">
        <v>31</v>
      </c>
      <c r="E409" t="s">
        <v>16</v>
      </c>
      <c r="F409">
        <v>5</v>
      </c>
      <c r="G409">
        <v>125.42</v>
      </c>
      <c r="H409" t="s">
        <v>12</v>
      </c>
    </row>
    <row r="410" spans="1:8" x14ac:dyDescent="0.2">
      <c r="A410">
        <v>45365</v>
      </c>
      <c r="B410" t="s">
        <v>116</v>
      </c>
      <c r="C410" t="s">
        <v>14</v>
      </c>
      <c r="D410" t="s">
        <v>78</v>
      </c>
      <c r="E410" t="s">
        <v>50</v>
      </c>
      <c r="F410">
        <v>1</v>
      </c>
      <c r="G410">
        <v>385.68</v>
      </c>
      <c r="H410" t="s">
        <v>12</v>
      </c>
    </row>
    <row r="411" spans="1:8" x14ac:dyDescent="0.2">
      <c r="A411">
        <v>45401</v>
      </c>
      <c r="B411" t="s">
        <v>30</v>
      </c>
      <c r="C411" t="s">
        <v>22</v>
      </c>
      <c r="D411" t="s">
        <v>15</v>
      </c>
      <c r="E411" t="s">
        <v>29</v>
      </c>
      <c r="F411">
        <v>10</v>
      </c>
      <c r="G411">
        <v>427.61</v>
      </c>
      <c r="H411" t="s">
        <v>12</v>
      </c>
    </row>
    <row r="412" spans="1:8" x14ac:dyDescent="0.2">
      <c r="A412">
        <v>45343</v>
      </c>
      <c r="B412" t="s">
        <v>46</v>
      </c>
      <c r="C412" t="s">
        <v>9</v>
      </c>
      <c r="D412" t="s">
        <v>78</v>
      </c>
      <c r="E412" t="s">
        <v>50</v>
      </c>
      <c r="F412">
        <v>7</v>
      </c>
      <c r="G412">
        <v>243.34</v>
      </c>
      <c r="H412" t="s">
        <v>20</v>
      </c>
    </row>
    <row r="413" spans="1:8" x14ac:dyDescent="0.2">
      <c r="A413">
        <v>45363</v>
      </c>
      <c r="B413" t="s">
        <v>112</v>
      </c>
      <c r="C413" t="s">
        <v>33</v>
      </c>
      <c r="D413" t="s">
        <v>71</v>
      </c>
      <c r="E413" t="s">
        <v>16</v>
      </c>
      <c r="F413">
        <v>2</v>
      </c>
      <c r="G413">
        <v>186.49</v>
      </c>
      <c r="H413" t="s">
        <v>43</v>
      </c>
    </row>
    <row r="414" spans="1:8" x14ac:dyDescent="0.2">
      <c r="A414">
        <v>45603</v>
      </c>
      <c r="B414" t="s">
        <v>181</v>
      </c>
      <c r="C414" t="s">
        <v>9</v>
      </c>
      <c r="D414" t="s">
        <v>97</v>
      </c>
      <c r="E414" t="s">
        <v>16</v>
      </c>
      <c r="F414">
        <v>5</v>
      </c>
      <c r="G414">
        <v>163</v>
      </c>
      <c r="H414" t="s">
        <v>43</v>
      </c>
    </row>
    <row r="415" spans="1:8" x14ac:dyDescent="0.2">
      <c r="A415">
        <v>45492</v>
      </c>
      <c r="B415" t="s">
        <v>146</v>
      </c>
      <c r="C415" t="s">
        <v>9</v>
      </c>
      <c r="D415" t="s">
        <v>40</v>
      </c>
      <c r="E415" t="s">
        <v>16</v>
      </c>
      <c r="F415">
        <v>8</v>
      </c>
      <c r="G415">
        <v>262.24</v>
      </c>
      <c r="H415" t="s">
        <v>12</v>
      </c>
    </row>
    <row r="416" spans="1:8" x14ac:dyDescent="0.2">
      <c r="A416">
        <v>45596</v>
      </c>
      <c r="B416" t="s">
        <v>175</v>
      </c>
      <c r="C416" t="s">
        <v>14</v>
      </c>
      <c r="D416" t="s">
        <v>52</v>
      </c>
      <c r="E416" t="s">
        <v>35</v>
      </c>
      <c r="F416">
        <v>6</v>
      </c>
      <c r="G416">
        <v>563.66</v>
      </c>
      <c r="H416" t="s">
        <v>12</v>
      </c>
    </row>
    <row r="417" spans="1:8" x14ac:dyDescent="0.2">
      <c r="A417">
        <v>45583</v>
      </c>
      <c r="B417" t="s">
        <v>155</v>
      </c>
      <c r="C417" t="s">
        <v>33</v>
      </c>
      <c r="D417" t="s">
        <v>28</v>
      </c>
      <c r="E417" t="s">
        <v>29</v>
      </c>
      <c r="F417">
        <v>3</v>
      </c>
      <c r="G417">
        <v>469.5</v>
      </c>
      <c r="H417" t="s">
        <v>12</v>
      </c>
    </row>
    <row r="418" spans="1:8" x14ac:dyDescent="0.2">
      <c r="A418">
        <v>45326</v>
      </c>
      <c r="B418" t="s">
        <v>137</v>
      </c>
      <c r="C418" t="s">
        <v>33</v>
      </c>
      <c r="D418" t="s">
        <v>18</v>
      </c>
      <c r="E418" t="s">
        <v>19</v>
      </c>
      <c r="F418">
        <v>1</v>
      </c>
      <c r="G418">
        <v>557.41999999999996</v>
      </c>
      <c r="H418" t="s">
        <v>20</v>
      </c>
    </row>
    <row r="419" spans="1:8" x14ac:dyDescent="0.2">
      <c r="A419">
        <v>45613</v>
      </c>
      <c r="B419" t="s">
        <v>183</v>
      </c>
      <c r="C419" t="s">
        <v>14</v>
      </c>
      <c r="D419" t="s">
        <v>15</v>
      </c>
      <c r="E419" t="s">
        <v>16</v>
      </c>
      <c r="F419">
        <v>7</v>
      </c>
      <c r="G419">
        <v>436</v>
      </c>
      <c r="H419" t="s">
        <v>12</v>
      </c>
    </row>
    <row r="420" spans="1:8" x14ac:dyDescent="0.2">
      <c r="A420">
        <v>45567</v>
      </c>
      <c r="B420" t="s">
        <v>94</v>
      </c>
      <c r="C420" t="s">
        <v>22</v>
      </c>
      <c r="D420" t="s">
        <v>42</v>
      </c>
      <c r="E420" t="s">
        <v>16</v>
      </c>
      <c r="F420">
        <v>2</v>
      </c>
      <c r="G420">
        <v>220.45</v>
      </c>
      <c r="H420" t="s">
        <v>43</v>
      </c>
    </row>
    <row r="421" spans="1:8" x14ac:dyDescent="0.2">
      <c r="A421">
        <v>45371</v>
      </c>
      <c r="B421" t="s">
        <v>45</v>
      </c>
      <c r="C421" t="s">
        <v>33</v>
      </c>
      <c r="D421" t="s">
        <v>25</v>
      </c>
      <c r="E421" t="s">
        <v>16</v>
      </c>
      <c r="F421">
        <v>10</v>
      </c>
      <c r="G421">
        <v>398.86</v>
      </c>
      <c r="H421" t="s">
        <v>43</v>
      </c>
    </row>
    <row r="422" spans="1:8" x14ac:dyDescent="0.2">
      <c r="A422">
        <v>45325</v>
      </c>
      <c r="B422" t="s">
        <v>217</v>
      </c>
      <c r="C422" t="s">
        <v>27</v>
      </c>
      <c r="D422" t="s">
        <v>10</v>
      </c>
      <c r="E422" t="s">
        <v>11</v>
      </c>
      <c r="F422">
        <v>4</v>
      </c>
      <c r="G422">
        <v>81.849999999999994</v>
      </c>
      <c r="H422" t="s">
        <v>12</v>
      </c>
    </row>
    <row r="423" spans="1:8" x14ac:dyDescent="0.2">
      <c r="A423">
        <v>45351</v>
      </c>
      <c r="B423" t="s">
        <v>141</v>
      </c>
      <c r="C423" t="s">
        <v>14</v>
      </c>
      <c r="D423" t="s">
        <v>49</v>
      </c>
      <c r="E423" t="s">
        <v>50</v>
      </c>
      <c r="F423">
        <v>1</v>
      </c>
      <c r="G423">
        <v>220.11</v>
      </c>
      <c r="H423" t="s">
        <v>43</v>
      </c>
    </row>
    <row r="424" spans="1:8" x14ac:dyDescent="0.2">
      <c r="A424">
        <v>45381</v>
      </c>
      <c r="B424" t="s">
        <v>121</v>
      </c>
      <c r="C424" t="s">
        <v>9</v>
      </c>
      <c r="D424" t="s">
        <v>23</v>
      </c>
      <c r="E424" t="s">
        <v>11</v>
      </c>
      <c r="F424">
        <v>3</v>
      </c>
      <c r="G424">
        <v>435.82</v>
      </c>
      <c r="H424" t="s">
        <v>12</v>
      </c>
    </row>
    <row r="425" spans="1:8" x14ac:dyDescent="0.2">
      <c r="A425">
        <v>45469</v>
      </c>
      <c r="B425" t="s">
        <v>211</v>
      </c>
      <c r="C425" t="s">
        <v>14</v>
      </c>
      <c r="D425" t="s">
        <v>10</v>
      </c>
      <c r="E425" t="s">
        <v>11</v>
      </c>
      <c r="F425">
        <v>5</v>
      </c>
      <c r="G425">
        <v>141.83000000000001</v>
      </c>
      <c r="H425" t="s">
        <v>12</v>
      </c>
    </row>
    <row r="426" spans="1:8" x14ac:dyDescent="0.2">
      <c r="A426">
        <v>45429</v>
      </c>
      <c r="B426" t="s">
        <v>218</v>
      </c>
      <c r="C426" t="s">
        <v>9</v>
      </c>
      <c r="D426" t="s">
        <v>52</v>
      </c>
      <c r="E426" t="s">
        <v>35</v>
      </c>
      <c r="F426">
        <v>6</v>
      </c>
      <c r="G426">
        <v>493.91</v>
      </c>
      <c r="H426" t="s">
        <v>20</v>
      </c>
    </row>
    <row r="427" spans="1:8" x14ac:dyDescent="0.2">
      <c r="A427">
        <v>45426</v>
      </c>
      <c r="B427" t="s">
        <v>183</v>
      </c>
      <c r="C427" t="s">
        <v>14</v>
      </c>
      <c r="D427" t="s">
        <v>71</v>
      </c>
      <c r="E427" t="s">
        <v>16</v>
      </c>
      <c r="F427">
        <v>2</v>
      </c>
      <c r="G427">
        <v>322.88</v>
      </c>
      <c r="H427" t="s">
        <v>43</v>
      </c>
    </row>
    <row r="428" spans="1:8" x14ac:dyDescent="0.2">
      <c r="A428">
        <v>45547</v>
      </c>
      <c r="B428" t="s">
        <v>118</v>
      </c>
      <c r="C428" t="s">
        <v>22</v>
      </c>
      <c r="D428" t="s">
        <v>31</v>
      </c>
      <c r="E428" t="s">
        <v>16</v>
      </c>
      <c r="F428">
        <v>3</v>
      </c>
      <c r="G428">
        <v>190.31</v>
      </c>
      <c r="H428" t="s">
        <v>12</v>
      </c>
    </row>
    <row r="429" spans="1:8" x14ac:dyDescent="0.2">
      <c r="A429">
        <v>45351</v>
      </c>
      <c r="B429" t="s">
        <v>200</v>
      </c>
      <c r="C429" t="s">
        <v>14</v>
      </c>
      <c r="D429" t="s">
        <v>52</v>
      </c>
      <c r="E429" t="s">
        <v>35</v>
      </c>
      <c r="F429">
        <v>1</v>
      </c>
      <c r="G429">
        <v>522.28</v>
      </c>
      <c r="H429" t="s">
        <v>12</v>
      </c>
    </row>
    <row r="430" spans="1:8" x14ac:dyDescent="0.2">
      <c r="A430">
        <v>45533</v>
      </c>
      <c r="B430" t="s">
        <v>36</v>
      </c>
      <c r="C430" t="s">
        <v>27</v>
      </c>
      <c r="D430" t="s">
        <v>57</v>
      </c>
      <c r="E430" t="s">
        <v>19</v>
      </c>
      <c r="F430">
        <v>3</v>
      </c>
      <c r="G430">
        <v>562.14</v>
      </c>
      <c r="H430" t="s">
        <v>12</v>
      </c>
    </row>
    <row r="431" spans="1:8" x14ac:dyDescent="0.2">
      <c r="A431">
        <v>45506</v>
      </c>
      <c r="B431" t="s">
        <v>166</v>
      </c>
      <c r="C431" t="s">
        <v>33</v>
      </c>
      <c r="D431" t="s">
        <v>40</v>
      </c>
      <c r="E431" t="s">
        <v>16</v>
      </c>
      <c r="F431">
        <v>7</v>
      </c>
      <c r="G431">
        <v>553.72</v>
      </c>
      <c r="H431" t="s">
        <v>20</v>
      </c>
    </row>
    <row r="432" spans="1:8" x14ac:dyDescent="0.2">
      <c r="A432">
        <v>45331</v>
      </c>
      <c r="B432" t="s">
        <v>219</v>
      </c>
      <c r="C432" t="s">
        <v>33</v>
      </c>
      <c r="D432" t="s">
        <v>68</v>
      </c>
      <c r="E432" t="s">
        <v>35</v>
      </c>
      <c r="F432">
        <v>9</v>
      </c>
      <c r="G432">
        <v>420.33</v>
      </c>
      <c r="H432" t="s">
        <v>12</v>
      </c>
    </row>
    <row r="433" spans="1:8" x14ac:dyDescent="0.2">
      <c r="A433">
        <v>45556</v>
      </c>
      <c r="B433" t="s">
        <v>142</v>
      </c>
      <c r="C433" t="s">
        <v>27</v>
      </c>
      <c r="D433" t="s">
        <v>34</v>
      </c>
      <c r="E433" t="s">
        <v>35</v>
      </c>
      <c r="F433">
        <v>8</v>
      </c>
      <c r="G433">
        <v>526.32000000000005</v>
      </c>
      <c r="H433" t="s">
        <v>20</v>
      </c>
    </row>
    <row r="434" spans="1:8" x14ac:dyDescent="0.2">
      <c r="A434">
        <v>45575</v>
      </c>
      <c r="B434" t="s">
        <v>141</v>
      </c>
      <c r="C434" t="s">
        <v>9</v>
      </c>
      <c r="D434" t="s">
        <v>31</v>
      </c>
      <c r="E434" t="s">
        <v>16</v>
      </c>
      <c r="F434">
        <v>4</v>
      </c>
      <c r="G434">
        <v>210.38</v>
      </c>
      <c r="H434" t="s">
        <v>20</v>
      </c>
    </row>
    <row r="435" spans="1:8" x14ac:dyDescent="0.2">
      <c r="A435">
        <v>45416</v>
      </c>
      <c r="B435" t="s">
        <v>220</v>
      </c>
      <c r="C435" t="s">
        <v>33</v>
      </c>
      <c r="D435" t="s">
        <v>78</v>
      </c>
      <c r="E435" t="s">
        <v>50</v>
      </c>
      <c r="F435">
        <v>8</v>
      </c>
      <c r="G435">
        <v>598.78</v>
      </c>
      <c r="H435" t="s">
        <v>12</v>
      </c>
    </row>
    <row r="436" spans="1:8" x14ac:dyDescent="0.2">
      <c r="A436">
        <v>45571</v>
      </c>
      <c r="B436" t="s">
        <v>21</v>
      </c>
      <c r="C436" t="s">
        <v>22</v>
      </c>
      <c r="D436" t="s">
        <v>57</v>
      </c>
      <c r="E436" t="s">
        <v>19</v>
      </c>
      <c r="F436">
        <v>1</v>
      </c>
      <c r="G436">
        <v>562.82000000000005</v>
      </c>
      <c r="H436" t="s">
        <v>12</v>
      </c>
    </row>
    <row r="437" spans="1:8" x14ac:dyDescent="0.2">
      <c r="A437">
        <v>45469</v>
      </c>
      <c r="B437" t="s">
        <v>215</v>
      </c>
      <c r="C437" t="s">
        <v>9</v>
      </c>
      <c r="D437" t="s">
        <v>59</v>
      </c>
      <c r="E437" t="s">
        <v>16</v>
      </c>
      <c r="F437">
        <v>1</v>
      </c>
      <c r="G437">
        <v>467.41</v>
      </c>
      <c r="H437" t="s">
        <v>20</v>
      </c>
    </row>
    <row r="438" spans="1:8" x14ac:dyDescent="0.2">
      <c r="A438">
        <v>45449</v>
      </c>
      <c r="B438" t="s">
        <v>24</v>
      </c>
      <c r="C438" t="s">
        <v>22</v>
      </c>
      <c r="D438" t="s">
        <v>56</v>
      </c>
      <c r="E438" t="s">
        <v>38</v>
      </c>
      <c r="F438">
        <v>4</v>
      </c>
      <c r="G438">
        <v>280.89999999999998</v>
      </c>
      <c r="H438" t="s">
        <v>12</v>
      </c>
    </row>
    <row r="439" spans="1:8" x14ac:dyDescent="0.2">
      <c r="A439">
        <v>45364</v>
      </c>
      <c r="B439" t="s">
        <v>183</v>
      </c>
      <c r="C439" t="s">
        <v>33</v>
      </c>
      <c r="D439" t="s">
        <v>34</v>
      </c>
      <c r="E439" t="s">
        <v>35</v>
      </c>
      <c r="F439">
        <v>1</v>
      </c>
      <c r="G439">
        <v>556.70000000000005</v>
      </c>
      <c r="H439" t="s">
        <v>43</v>
      </c>
    </row>
    <row r="440" spans="1:8" x14ac:dyDescent="0.2">
      <c r="A440">
        <v>45482</v>
      </c>
      <c r="B440" t="s">
        <v>173</v>
      </c>
      <c r="C440" t="s">
        <v>9</v>
      </c>
      <c r="D440" t="s">
        <v>78</v>
      </c>
      <c r="E440" t="s">
        <v>50</v>
      </c>
      <c r="F440">
        <v>2</v>
      </c>
      <c r="G440">
        <v>327.99</v>
      </c>
      <c r="H440" t="s">
        <v>43</v>
      </c>
    </row>
    <row r="441" spans="1:8" x14ac:dyDescent="0.2">
      <c r="A441">
        <v>45330</v>
      </c>
      <c r="B441" t="s">
        <v>191</v>
      </c>
      <c r="C441" t="s">
        <v>14</v>
      </c>
      <c r="D441" t="s">
        <v>75</v>
      </c>
      <c r="E441" t="s">
        <v>35</v>
      </c>
      <c r="F441">
        <v>7</v>
      </c>
      <c r="G441">
        <v>414.34</v>
      </c>
      <c r="H441" t="s">
        <v>12</v>
      </c>
    </row>
    <row r="442" spans="1:8" x14ac:dyDescent="0.2">
      <c r="A442">
        <v>45425</v>
      </c>
      <c r="B442" t="s">
        <v>41</v>
      </c>
      <c r="C442" t="s">
        <v>27</v>
      </c>
      <c r="D442" t="s">
        <v>23</v>
      </c>
      <c r="E442" t="s">
        <v>11</v>
      </c>
      <c r="F442">
        <v>6</v>
      </c>
      <c r="G442">
        <v>224.93</v>
      </c>
      <c r="H442" t="s">
        <v>20</v>
      </c>
    </row>
    <row r="443" spans="1:8" x14ac:dyDescent="0.2">
      <c r="A443">
        <v>45395</v>
      </c>
      <c r="B443" t="s">
        <v>83</v>
      </c>
      <c r="C443" t="s">
        <v>14</v>
      </c>
      <c r="D443" t="s">
        <v>68</v>
      </c>
      <c r="E443" t="s">
        <v>35</v>
      </c>
      <c r="F443">
        <v>3</v>
      </c>
      <c r="G443">
        <v>108.11</v>
      </c>
      <c r="H443" t="s">
        <v>20</v>
      </c>
    </row>
    <row r="444" spans="1:8" x14ac:dyDescent="0.2">
      <c r="A444">
        <v>45500</v>
      </c>
      <c r="B444" t="s">
        <v>121</v>
      </c>
      <c r="C444" t="s">
        <v>14</v>
      </c>
      <c r="D444" t="s">
        <v>31</v>
      </c>
      <c r="E444" t="s">
        <v>16</v>
      </c>
      <c r="F444">
        <v>4</v>
      </c>
      <c r="G444">
        <v>298.55</v>
      </c>
      <c r="H444" t="s">
        <v>20</v>
      </c>
    </row>
    <row r="445" spans="1:8" x14ac:dyDescent="0.2">
      <c r="A445">
        <v>45353</v>
      </c>
      <c r="B445" t="s">
        <v>85</v>
      </c>
      <c r="C445" t="s">
        <v>22</v>
      </c>
      <c r="D445" t="s">
        <v>97</v>
      </c>
      <c r="E445" t="s">
        <v>16</v>
      </c>
      <c r="F445">
        <v>5</v>
      </c>
      <c r="G445">
        <v>504.51</v>
      </c>
      <c r="H445" t="s">
        <v>43</v>
      </c>
    </row>
    <row r="446" spans="1:8" x14ac:dyDescent="0.2">
      <c r="A446">
        <v>45402</v>
      </c>
      <c r="B446" t="s">
        <v>221</v>
      </c>
      <c r="C446" t="s">
        <v>22</v>
      </c>
      <c r="D446" t="s">
        <v>34</v>
      </c>
      <c r="E446" t="s">
        <v>35</v>
      </c>
      <c r="F446">
        <v>4</v>
      </c>
      <c r="G446">
        <v>582.62</v>
      </c>
      <c r="H446" t="s">
        <v>20</v>
      </c>
    </row>
    <row r="447" spans="1:8" x14ac:dyDescent="0.2">
      <c r="A447">
        <v>45445</v>
      </c>
      <c r="B447" t="s">
        <v>222</v>
      </c>
      <c r="C447" t="s">
        <v>22</v>
      </c>
      <c r="D447" t="s">
        <v>52</v>
      </c>
      <c r="E447" t="s">
        <v>35</v>
      </c>
      <c r="F447">
        <v>7</v>
      </c>
      <c r="G447">
        <v>520.03</v>
      </c>
      <c r="H447" t="s">
        <v>43</v>
      </c>
    </row>
    <row r="448" spans="1:8" x14ac:dyDescent="0.2">
      <c r="A448">
        <v>45419</v>
      </c>
      <c r="B448" t="s">
        <v>223</v>
      </c>
      <c r="C448" t="s">
        <v>27</v>
      </c>
      <c r="D448" t="s">
        <v>68</v>
      </c>
      <c r="E448" t="s">
        <v>35</v>
      </c>
      <c r="F448">
        <v>3</v>
      </c>
      <c r="G448">
        <v>116.8</v>
      </c>
      <c r="H448" t="s">
        <v>12</v>
      </c>
    </row>
    <row r="449" spans="1:8" x14ac:dyDescent="0.2">
      <c r="A449">
        <v>45405</v>
      </c>
      <c r="B449" t="s">
        <v>158</v>
      </c>
      <c r="C449" t="s">
        <v>22</v>
      </c>
      <c r="D449" t="s">
        <v>25</v>
      </c>
      <c r="E449" t="s">
        <v>29</v>
      </c>
      <c r="F449">
        <v>6</v>
      </c>
      <c r="G449">
        <v>427.46</v>
      </c>
      <c r="H449" t="s">
        <v>43</v>
      </c>
    </row>
    <row r="450" spans="1:8" x14ac:dyDescent="0.2">
      <c r="A450">
        <v>45592</v>
      </c>
      <c r="B450" t="s">
        <v>222</v>
      </c>
      <c r="C450" t="s">
        <v>9</v>
      </c>
      <c r="D450" t="s">
        <v>52</v>
      </c>
      <c r="E450" t="s">
        <v>35</v>
      </c>
      <c r="F450">
        <v>2</v>
      </c>
      <c r="G450">
        <v>158.76</v>
      </c>
      <c r="H450" t="s">
        <v>43</v>
      </c>
    </row>
    <row r="451" spans="1:8" x14ac:dyDescent="0.2">
      <c r="A451">
        <v>45357</v>
      </c>
      <c r="B451" t="s">
        <v>85</v>
      </c>
      <c r="C451" t="s">
        <v>33</v>
      </c>
      <c r="D451" t="s">
        <v>68</v>
      </c>
      <c r="E451" t="s">
        <v>35</v>
      </c>
      <c r="F451">
        <v>1</v>
      </c>
      <c r="G451">
        <v>568.25</v>
      </c>
      <c r="H451" t="s">
        <v>12</v>
      </c>
    </row>
    <row r="452" spans="1:8" x14ac:dyDescent="0.2">
      <c r="A452">
        <v>45585</v>
      </c>
      <c r="B452" t="s">
        <v>95</v>
      </c>
      <c r="C452" t="s">
        <v>27</v>
      </c>
      <c r="D452" t="s">
        <v>47</v>
      </c>
      <c r="E452" t="s">
        <v>35</v>
      </c>
      <c r="F452">
        <v>1</v>
      </c>
      <c r="G452">
        <v>260.5</v>
      </c>
      <c r="H452" t="s">
        <v>20</v>
      </c>
    </row>
    <row r="453" spans="1:8" x14ac:dyDescent="0.2">
      <c r="A453">
        <v>45401</v>
      </c>
      <c r="B453" t="s">
        <v>224</v>
      </c>
      <c r="C453" t="s">
        <v>33</v>
      </c>
      <c r="D453" t="s">
        <v>42</v>
      </c>
      <c r="E453" t="s">
        <v>16</v>
      </c>
      <c r="F453">
        <v>8</v>
      </c>
      <c r="G453">
        <v>535.88</v>
      </c>
      <c r="H453" t="s">
        <v>12</v>
      </c>
    </row>
    <row r="454" spans="1:8" x14ac:dyDescent="0.2">
      <c r="A454">
        <v>45607</v>
      </c>
      <c r="B454" t="s">
        <v>98</v>
      </c>
      <c r="C454" t="s">
        <v>33</v>
      </c>
      <c r="D454" t="s">
        <v>47</v>
      </c>
      <c r="E454" t="s">
        <v>29</v>
      </c>
      <c r="F454">
        <v>7</v>
      </c>
      <c r="G454">
        <v>535.53</v>
      </c>
      <c r="H454" t="s">
        <v>20</v>
      </c>
    </row>
    <row r="455" spans="1:8" x14ac:dyDescent="0.2">
      <c r="A455">
        <v>45435</v>
      </c>
      <c r="B455" t="s">
        <v>225</v>
      </c>
      <c r="C455" t="s">
        <v>22</v>
      </c>
      <c r="D455" t="s">
        <v>15</v>
      </c>
      <c r="E455" t="s">
        <v>16</v>
      </c>
      <c r="F455">
        <v>4</v>
      </c>
      <c r="G455">
        <v>403.46</v>
      </c>
      <c r="H455" t="s">
        <v>43</v>
      </c>
    </row>
    <row r="456" spans="1:8" x14ac:dyDescent="0.2">
      <c r="A456">
        <v>45570</v>
      </c>
      <c r="B456" t="s">
        <v>192</v>
      </c>
      <c r="C456" t="s">
        <v>27</v>
      </c>
      <c r="D456" t="s">
        <v>23</v>
      </c>
      <c r="E456" t="s">
        <v>11</v>
      </c>
      <c r="F456">
        <v>6</v>
      </c>
      <c r="G456">
        <v>313.83</v>
      </c>
      <c r="H456" t="s">
        <v>20</v>
      </c>
    </row>
    <row r="457" spans="1:8" x14ac:dyDescent="0.2">
      <c r="A457">
        <v>45581</v>
      </c>
      <c r="B457" t="s">
        <v>55</v>
      </c>
      <c r="C457" t="s">
        <v>33</v>
      </c>
      <c r="D457" t="s">
        <v>25</v>
      </c>
      <c r="E457" t="s">
        <v>16</v>
      </c>
      <c r="F457">
        <v>5</v>
      </c>
      <c r="G457">
        <v>148.9</v>
      </c>
      <c r="H457" t="s">
        <v>20</v>
      </c>
    </row>
    <row r="458" spans="1:8" x14ac:dyDescent="0.2">
      <c r="A458">
        <v>45307</v>
      </c>
      <c r="B458" t="s">
        <v>100</v>
      </c>
      <c r="C458" t="s">
        <v>33</v>
      </c>
      <c r="D458" t="s">
        <v>75</v>
      </c>
      <c r="E458" t="s">
        <v>35</v>
      </c>
      <c r="F458">
        <v>8</v>
      </c>
      <c r="G458">
        <v>341.19</v>
      </c>
      <c r="H458" t="s">
        <v>43</v>
      </c>
    </row>
    <row r="459" spans="1:8" x14ac:dyDescent="0.2">
      <c r="A459">
        <v>45373</v>
      </c>
      <c r="B459" t="s">
        <v>70</v>
      </c>
      <c r="C459" t="s">
        <v>22</v>
      </c>
      <c r="D459" t="s">
        <v>97</v>
      </c>
      <c r="E459" t="s">
        <v>29</v>
      </c>
      <c r="F459">
        <v>4</v>
      </c>
      <c r="G459">
        <v>196.59</v>
      </c>
      <c r="H459" t="s">
        <v>43</v>
      </c>
    </row>
    <row r="460" spans="1:8" x14ac:dyDescent="0.2">
      <c r="A460">
        <v>45404</v>
      </c>
      <c r="B460" t="s">
        <v>226</v>
      </c>
      <c r="C460" t="s">
        <v>27</v>
      </c>
      <c r="D460" t="s">
        <v>31</v>
      </c>
      <c r="E460" t="s">
        <v>16</v>
      </c>
      <c r="F460">
        <v>3</v>
      </c>
      <c r="G460">
        <v>146.86000000000001</v>
      </c>
      <c r="H460" t="s">
        <v>43</v>
      </c>
    </row>
    <row r="461" spans="1:8" x14ac:dyDescent="0.2">
      <c r="A461">
        <v>45475</v>
      </c>
      <c r="B461" t="s">
        <v>191</v>
      </c>
      <c r="C461" t="s">
        <v>9</v>
      </c>
      <c r="D461" t="s">
        <v>23</v>
      </c>
      <c r="E461" t="s">
        <v>29</v>
      </c>
      <c r="F461">
        <v>6</v>
      </c>
      <c r="G461">
        <v>571.16</v>
      </c>
      <c r="H461" t="s">
        <v>43</v>
      </c>
    </row>
    <row r="462" spans="1:8" x14ac:dyDescent="0.2">
      <c r="A462">
        <v>45388</v>
      </c>
      <c r="B462" t="s">
        <v>99</v>
      </c>
      <c r="C462" t="s">
        <v>14</v>
      </c>
      <c r="D462" t="s">
        <v>54</v>
      </c>
      <c r="E462" t="s">
        <v>29</v>
      </c>
      <c r="F462">
        <v>3</v>
      </c>
      <c r="G462">
        <v>319.74</v>
      </c>
      <c r="H462" t="s">
        <v>12</v>
      </c>
    </row>
    <row r="463" spans="1:8" x14ac:dyDescent="0.2">
      <c r="A463">
        <v>45600</v>
      </c>
      <c r="B463" t="s">
        <v>154</v>
      </c>
      <c r="C463" t="s">
        <v>9</v>
      </c>
      <c r="D463" t="s">
        <v>56</v>
      </c>
      <c r="E463" t="s">
        <v>38</v>
      </c>
      <c r="F463">
        <v>8</v>
      </c>
      <c r="G463">
        <v>50.38</v>
      </c>
      <c r="H463" t="s">
        <v>43</v>
      </c>
    </row>
    <row r="464" spans="1:8" x14ac:dyDescent="0.2">
      <c r="A464">
        <v>45358</v>
      </c>
      <c r="B464" t="s">
        <v>53</v>
      </c>
      <c r="C464" t="s">
        <v>22</v>
      </c>
      <c r="D464" t="s">
        <v>59</v>
      </c>
      <c r="E464" t="s">
        <v>16</v>
      </c>
      <c r="F464">
        <v>1</v>
      </c>
      <c r="G464">
        <v>62.05</v>
      </c>
      <c r="H464" t="s">
        <v>43</v>
      </c>
    </row>
    <row r="465" spans="1:8" x14ac:dyDescent="0.2">
      <c r="A465">
        <v>45364</v>
      </c>
      <c r="B465" t="s">
        <v>170</v>
      </c>
      <c r="C465" t="s">
        <v>9</v>
      </c>
      <c r="D465" t="s">
        <v>56</v>
      </c>
      <c r="E465" t="s">
        <v>38</v>
      </c>
      <c r="F465">
        <v>6</v>
      </c>
      <c r="G465">
        <v>578.30999999999995</v>
      </c>
      <c r="H465" t="s">
        <v>20</v>
      </c>
    </row>
    <row r="466" spans="1:8" x14ac:dyDescent="0.2">
      <c r="A466">
        <v>45494</v>
      </c>
      <c r="B466" t="s">
        <v>132</v>
      </c>
      <c r="C466" t="s">
        <v>9</v>
      </c>
      <c r="D466" t="s">
        <v>59</v>
      </c>
      <c r="E466" t="s">
        <v>16</v>
      </c>
      <c r="F466">
        <v>5</v>
      </c>
      <c r="G466">
        <v>227.43</v>
      </c>
      <c r="H466" t="s">
        <v>12</v>
      </c>
    </row>
    <row r="467" spans="1:8" x14ac:dyDescent="0.2">
      <c r="A467">
        <v>45515</v>
      </c>
      <c r="B467" t="s">
        <v>227</v>
      </c>
      <c r="C467" t="s">
        <v>27</v>
      </c>
      <c r="D467" t="s">
        <v>71</v>
      </c>
      <c r="E467" t="s">
        <v>16</v>
      </c>
      <c r="F467">
        <v>6</v>
      </c>
      <c r="G467">
        <v>145.81</v>
      </c>
      <c r="H467" t="s">
        <v>43</v>
      </c>
    </row>
    <row r="468" spans="1:8" x14ac:dyDescent="0.2">
      <c r="A468">
        <v>45606</v>
      </c>
      <c r="B468" t="s">
        <v>228</v>
      </c>
      <c r="C468" t="s">
        <v>22</v>
      </c>
      <c r="D468" t="s">
        <v>97</v>
      </c>
      <c r="E468" t="s">
        <v>16</v>
      </c>
      <c r="F468">
        <v>10</v>
      </c>
      <c r="G468">
        <v>497.95</v>
      </c>
      <c r="H468" t="s">
        <v>20</v>
      </c>
    </row>
    <row r="469" spans="1:8" x14ac:dyDescent="0.2">
      <c r="A469">
        <v>45442</v>
      </c>
      <c r="B469" t="s">
        <v>159</v>
      </c>
      <c r="C469" t="s">
        <v>22</v>
      </c>
      <c r="D469" t="s">
        <v>10</v>
      </c>
      <c r="E469" t="s">
        <v>11</v>
      </c>
      <c r="F469">
        <v>1</v>
      </c>
      <c r="G469">
        <v>571.83000000000004</v>
      </c>
      <c r="H469" t="s">
        <v>43</v>
      </c>
    </row>
    <row r="470" spans="1:8" x14ac:dyDescent="0.2">
      <c r="A470">
        <v>45582</v>
      </c>
      <c r="B470" t="s">
        <v>129</v>
      </c>
      <c r="C470" t="s">
        <v>22</v>
      </c>
      <c r="D470" t="s">
        <v>49</v>
      </c>
      <c r="E470" t="s">
        <v>50</v>
      </c>
      <c r="F470">
        <v>6</v>
      </c>
      <c r="G470">
        <v>556.57000000000005</v>
      </c>
      <c r="H470" t="s">
        <v>43</v>
      </c>
    </row>
    <row r="471" spans="1:8" x14ac:dyDescent="0.2">
      <c r="A471">
        <v>45581</v>
      </c>
      <c r="B471" t="s">
        <v>24</v>
      </c>
      <c r="C471" t="s">
        <v>27</v>
      </c>
      <c r="D471" t="s">
        <v>57</v>
      </c>
      <c r="E471" t="s">
        <v>19</v>
      </c>
      <c r="F471">
        <v>6</v>
      </c>
      <c r="G471">
        <v>459.94</v>
      </c>
      <c r="H471" t="s">
        <v>12</v>
      </c>
    </row>
    <row r="472" spans="1:8" x14ac:dyDescent="0.2">
      <c r="A472">
        <v>45455</v>
      </c>
      <c r="B472" t="s">
        <v>72</v>
      </c>
      <c r="C472" t="s">
        <v>9</v>
      </c>
      <c r="D472" t="s">
        <v>23</v>
      </c>
      <c r="E472" t="s">
        <v>11</v>
      </c>
      <c r="F472">
        <v>6</v>
      </c>
      <c r="G472">
        <v>295.64999999999998</v>
      </c>
      <c r="H472" t="s">
        <v>20</v>
      </c>
    </row>
    <row r="473" spans="1:8" x14ac:dyDescent="0.2">
      <c r="A473">
        <v>45326</v>
      </c>
      <c r="B473" t="s">
        <v>134</v>
      </c>
      <c r="C473" t="s">
        <v>33</v>
      </c>
      <c r="D473" t="s">
        <v>68</v>
      </c>
      <c r="E473" t="s">
        <v>35</v>
      </c>
      <c r="F473">
        <v>1</v>
      </c>
      <c r="G473">
        <v>76.48</v>
      </c>
      <c r="H473" t="s">
        <v>20</v>
      </c>
    </row>
    <row r="474" spans="1:8" x14ac:dyDescent="0.2">
      <c r="A474">
        <v>45377</v>
      </c>
      <c r="B474" t="s">
        <v>67</v>
      </c>
      <c r="C474" t="s">
        <v>27</v>
      </c>
      <c r="D474" t="s">
        <v>25</v>
      </c>
      <c r="E474" t="s">
        <v>16</v>
      </c>
      <c r="F474">
        <v>6</v>
      </c>
      <c r="G474">
        <v>350.31</v>
      </c>
      <c r="H474" t="s">
        <v>12</v>
      </c>
    </row>
    <row r="475" spans="1:8" x14ac:dyDescent="0.2">
      <c r="A475">
        <v>45587</v>
      </c>
      <c r="B475" t="s">
        <v>117</v>
      </c>
      <c r="C475" t="s">
        <v>22</v>
      </c>
      <c r="D475" t="s">
        <v>88</v>
      </c>
      <c r="E475" t="s">
        <v>19</v>
      </c>
      <c r="F475">
        <v>8</v>
      </c>
      <c r="G475">
        <v>90.54</v>
      </c>
      <c r="H475" t="s">
        <v>12</v>
      </c>
    </row>
    <row r="476" spans="1:8" x14ac:dyDescent="0.2">
      <c r="A476">
        <v>45455</v>
      </c>
      <c r="B476" t="s">
        <v>222</v>
      </c>
      <c r="C476" t="s">
        <v>9</v>
      </c>
      <c r="D476" t="s">
        <v>34</v>
      </c>
      <c r="E476" t="s">
        <v>35</v>
      </c>
      <c r="F476">
        <v>6</v>
      </c>
      <c r="G476">
        <v>143.56</v>
      </c>
      <c r="H476" t="s">
        <v>20</v>
      </c>
    </row>
    <row r="477" spans="1:8" x14ac:dyDescent="0.2">
      <c r="A477">
        <v>45330</v>
      </c>
      <c r="B477" t="s">
        <v>204</v>
      </c>
      <c r="C477" t="s">
        <v>9</v>
      </c>
      <c r="D477" t="s">
        <v>59</v>
      </c>
      <c r="E477" t="s">
        <v>16</v>
      </c>
      <c r="F477">
        <v>10</v>
      </c>
      <c r="G477">
        <v>591.9</v>
      </c>
      <c r="H477" t="s">
        <v>20</v>
      </c>
    </row>
    <row r="478" spans="1:8" x14ac:dyDescent="0.2">
      <c r="A478">
        <v>45512</v>
      </c>
      <c r="B478" t="s">
        <v>163</v>
      </c>
      <c r="C478" t="s">
        <v>22</v>
      </c>
      <c r="D478" t="s">
        <v>49</v>
      </c>
      <c r="E478" t="s">
        <v>50</v>
      </c>
      <c r="F478">
        <v>7</v>
      </c>
      <c r="G478">
        <v>136.41</v>
      </c>
      <c r="H478" t="s">
        <v>12</v>
      </c>
    </row>
    <row r="479" spans="1:8" x14ac:dyDescent="0.2">
      <c r="A479">
        <v>45389</v>
      </c>
      <c r="B479" t="s">
        <v>87</v>
      </c>
      <c r="C479" t="s">
        <v>14</v>
      </c>
      <c r="D479" t="s">
        <v>10</v>
      </c>
      <c r="E479" t="s">
        <v>11</v>
      </c>
      <c r="F479">
        <v>9</v>
      </c>
      <c r="G479">
        <v>195.9</v>
      </c>
      <c r="H479" t="s">
        <v>20</v>
      </c>
    </row>
    <row r="480" spans="1:8" x14ac:dyDescent="0.2">
      <c r="A480">
        <v>45341</v>
      </c>
      <c r="B480" t="s">
        <v>171</v>
      </c>
      <c r="C480" t="s">
        <v>27</v>
      </c>
      <c r="D480" t="s">
        <v>78</v>
      </c>
      <c r="E480" t="s">
        <v>29</v>
      </c>
      <c r="F480">
        <v>9</v>
      </c>
      <c r="G480">
        <v>511.92</v>
      </c>
      <c r="H480" t="s">
        <v>12</v>
      </c>
    </row>
    <row r="481" spans="1:8" x14ac:dyDescent="0.2">
      <c r="A481">
        <v>45293</v>
      </c>
      <c r="B481" t="s">
        <v>229</v>
      </c>
      <c r="C481" t="s">
        <v>9</v>
      </c>
      <c r="D481" t="s">
        <v>54</v>
      </c>
      <c r="E481" t="s">
        <v>29</v>
      </c>
      <c r="F481">
        <v>10</v>
      </c>
      <c r="G481">
        <v>314.18</v>
      </c>
      <c r="H481" t="s">
        <v>12</v>
      </c>
    </row>
    <row r="482" spans="1:8" x14ac:dyDescent="0.2">
      <c r="A482">
        <v>45379</v>
      </c>
      <c r="B482" t="s">
        <v>227</v>
      </c>
      <c r="C482" t="s">
        <v>33</v>
      </c>
      <c r="D482" t="s">
        <v>34</v>
      </c>
      <c r="E482" t="s">
        <v>35</v>
      </c>
      <c r="F482">
        <v>8</v>
      </c>
      <c r="G482">
        <v>514.07000000000005</v>
      </c>
      <c r="H482" t="s">
        <v>20</v>
      </c>
    </row>
    <row r="483" spans="1:8" x14ac:dyDescent="0.2">
      <c r="A483">
        <v>45533</v>
      </c>
      <c r="B483" t="s">
        <v>230</v>
      </c>
      <c r="C483" t="s">
        <v>33</v>
      </c>
      <c r="D483" t="s">
        <v>34</v>
      </c>
      <c r="E483" t="s">
        <v>35</v>
      </c>
      <c r="F483">
        <v>9</v>
      </c>
      <c r="G483">
        <v>263.14</v>
      </c>
      <c r="H483" t="s">
        <v>20</v>
      </c>
    </row>
    <row r="484" spans="1:8" x14ac:dyDescent="0.2">
      <c r="A484">
        <v>45481</v>
      </c>
      <c r="B484" t="s">
        <v>224</v>
      </c>
      <c r="C484" t="s">
        <v>27</v>
      </c>
      <c r="D484" t="s">
        <v>75</v>
      </c>
      <c r="E484" t="s">
        <v>35</v>
      </c>
      <c r="F484">
        <v>5</v>
      </c>
      <c r="G484">
        <v>291.86</v>
      </c>
      <c r="H484" t="s">
        <v>20</v>
      </c>
    </row>
    <row r="485" spans="1:8" x14ac:dyDescent="0.2">
      <c r="A485">
        <v>45429</v>
      </c>
      <c r="B485" t="s">
        <v>113</v>
      </c>
      <c r="C485" t="s">
        <v>9</v>
      </c>
      <c r="D485" t="s">
        <v>57</v>
      </c>
      <c r="E485" t="s">
        <v>19</v>
      </c>
      <c r="F485">
        <v>2</v>
      </c>
      <c r="G485">
        <v>97.14</v>
      </c>
      <c r="H485" t="s">
        <v>20</v>
      </c>
    </row>
    <row r="486" spans="1:8" x14ac:dyDescent="0.2">
      <c r="A486">
        <v>45503</v>
      </c>
      <c r="B486" t="s">
        <v>197</v>
      </c>
      <c r="C486" t="s">
        <v>14</v>
      </c>
      <c r="D486" t="s">
        <v>40</v>
      </c>
      <c r="E486" t="s">
        <v>16</v>
      </c>
      <c r="F486">
        <v>9</v>
      </c>
      <c r="G486">
        <v>83.54</v>
      </c>
      <c r="H486" t="s">
        <v>20</v>
      </c>
    </row>
    <row r="487" spans="1:8" x14ac:dyDescent="0.2">
      <c r="A487">
        <v>45506</v>
      </c>
      <c r="B487" t="s">
        <v>45</v>
      </c>
      <c r="C487" t="s">
        <v>27</v>
      </c>
      <c r="D487" t="s">
        <v>78</v>
      </c>
      <c r="E487" t="s">
        <v>50</v>
      </c>
      <c r="F487">
        <v>4</v>
      </c>
      <c r="G487">
        <v>311.94</v>
      </c>
      <c r="H487" t="s">
        <v>12</v>
      </c>
    </row>
    <row r="488" spans="1:8" x14ac:dyDescent="0.2">
      <c r="A488">
        <v>45309</v>
      </c>
      <c r="B488" t="s">
        <v>55</v>
      </c>
      <c r="C488" t="s">
        <v>14</v>
      </c>
      <c r="D488" t="s">
        <v>56</v>
      </c>
      <c r="E488" t="s">
        <v>29</v>
      </c>
      <c r="F488">
        <v>10</v>
      </c>
      <c r="G488">
        <v>422.64</v>
      </c>
      <c r="H488" t="s">
        <v>43</v>
      </c>
    </row>
    <row r="489" spans="1:8" x14ac:dyDescent="0.2">
      <c r="A489">
        <v>45521</v>
      </c>
      <c r="B489" t="s">
        <v>187</v>
      </c>
      <c r="C489" t="s">
        <v>22</v>
      </c>
      <c r="D489" t="s">
        <v>18</v>
      </c>
      <c r="E489" t="s">
        <v>29</v>
      </c>
      <c r="F489">
        <v>4</v>
      </c>
      <c r="G489">
        <v>119.4</v>
      </c>
      <c r="H489" t="s">
        <v>20</v>
      </c>
    </row>
    <row r="490" spans="1:8" x14ac:dyDescent="0.2">
      <c r="A490">
        <v>45514</v>
      </c>
      <c r="B490" t="s">
        <v>90</v>
      </c>
      <c r="C490" t="s">
        <v>22</v>
      </c>
      <c r="D490" t="s">
        <v>49</v>
      </c>
      <c r="E490" t="s">
        <v>50</v>
      </c>
      <c r="F490">
        <v>5</v>
      </c>
      <c r="G490">
        <v>225.86</v>
      </c>
      <c r="H490" t="s">
        <v>43</v>
      </c>
    </row>
    <row r="491" spans="1:8" x14ac:dyDescent="0.2">
      <c r="A491">
        <v>45326</v>
      </c>
      <c r="B491" t="s">
        <v>13</v>
      </c>
      <c r="C491" t="s">
        <v>27</v>
      </c>
      <c r="D491" t="s">
        <v>28</v>
      </c>
      <c r="E491" t="s">
        <v>38</v>
      </c>
      <c r="F491">
        <v>7</v>
      </c>
      <c r="G491">
        <v>353.63</v>
      </c>
      <c r="H491" t="s">
        <v>20</v>
      </c>
    </row>
    <row r="492" spans="1:8" x14ac:dyDescent="0.2">
      <c r="A492">
        <v>45298</v>
      </c>
      <c r="B492" t="s">
        <v>120</v>
      </c>
      <c r="C492" t="s">
        <v>14</v>
      </c>
      <c r="D492" t="s">
        <v>78</v>
      </c>
      <c r="E492" t="s">
        <v>50</v>
      </c>
      <c r="F492">
        <v>9</v>
      </c>
      <c r="G492">
        <v>479.93</v>
      </c>
      <c r="H492" t="s">
        <v>12</v>
      </c>
    </row>
    <row r="493" spans="1:8" x14ac:dyDescent="0.2">
      <c r="A493">
        <v>45367</v>
      </c>
      <c r="B493" t="s">
        <v>118</v>
      </c>
      <c r="C493" t="s">
        <v>14</v>
      </c>
      <c r="D493" t="s">
        <v>78</v>
      </c>
      <c r="E493" t="s">
        <v>50</v>
      </c>
      <c r="F493">
        <v>2</v>
      </c>
      <c r="G493">
        <v>558.71</v>
      </c>
      <c r="H493" t="s">
        <v>43</v>
      </c>
    </row>
    <row r="494" spans="1:8" x14ac:dyDescent="0.2">
      <c r="A494">
        <v>45438</v>
      </c>
      <c r="B494" t="s">
        <v>45</v>
      </c>
      <c r="C494" t="s">
        <v>33</v>
      </c>
      <c r="D494" t="s">
        <v>15</v>
      </c>
      <c r="E494" t="s">
        <v>16</v>
      </c>
      <c r="F494">
        <v>5</v>
      </c>
      <c r="G494">
        <v>260.67</v>
      </c>
      <c r="H494" t="s">
        <v>20</v>
      </c>
    </row>
    <row r="495" spans="1:8" x14ac:dyDescent="0.2">
      <c r="A495">
        <v>45534</v>
      </c>
      <c r="B495" t="s">
        <v>91</v>
      </c>
      <c r="C495" t="s">
        <v>22</v>
      </c>
      <c r="D495" t="s">
        <v>42</v>
      </c>
      <c r="E495" t="s">
        <v>16</v>
      </c>
      <c r="F495">
        <v>7</v>
      </c>
      <c r="G495">
        <v>129.12</v>
      </c>
      <c r="H495" t="s">
        <v>43</v>
      </c>
    </row>
    <row r="496" spans="1:8" x14ac:dyDescent="0.2">
      <c r="A496">
        <v>45497</v>
      </c>
      <c r="B496" t="s">
        <v>91</v>
      </c>
      <c r="C496" t="s">
        <v>27</v>
      </c>
      <c r="D496" t="s">
        <v>59</v>
      </c>
      <c r="E496" t="s">
        <v>16</v>
      </c>
      <c r="F496">
        <v>4</v>
      </c>
      <c r="G496">
        <v>77.11</v>
      </c>
      <c r="H496" t="s">
        <v>20</v>
      </c>
    </row>
    <row r="497" spans="1:8" x14ac:dyDescent="0.2">
      <c r="A497">
        <v>45482</v>
      </c>
      <c r="B497" t="s">
        <v>63</v>
      </c>
      <c r="C497" t="s">
        <v>33</v>
      </c>
      <c r="D497" t="s">
        <v>54</v>
      </c>
      <c r="E497" t="s">
        <v>16</v>
      </c>
      <c r="F497">
        <v>5</v>
      </c>
      <c r="G497">
        <v>204.19</v>
      </c>
      <c r="H497" t="s">
        <v>20</v>
      </c>
    </row>
    <row r="498" spans="1:8" x14ac:dyDescent="0.2">
      <c r="A498">
        <v>45342</v>
      </c>
      <c r="B498" t="s">
        <v>200</v>
      </c>
      <c r="C498" t="s">
        <v>22</v>
      </c>
      <c r="D498" t="s">
        <v>54</v>
      </c>
      <c r="E498" t="s">
        <v>16</v>
      </c>
      <c r="F498">
        <v>8</v>
      </c>
      <c r="G498">
        <v>475.72</v>
      </c>
      <c r="H498" t="s">
        <v>20</v>
      </c>
    </row>
    <row r="499" spans="1:8" x14ac:dyDescent="0.2">
      <c r="A499">
        <v>45505</v>
      </c>
      <c r="B499" t="s">
        <v>131</v>
      </c>
      <c r="C499" t="s">
        <v>9</v>
      </c>
      <c r="D499" t="s">
        <v>18</v>
      </c>
      <c r="E499" t="s">
        <v>19</v>
      </c>
      <c r="F499">
        <v>8</v>
      </c>
      <c r="G499">
        <v>166.26</v>
      </c>
      <c r="H499" t="s">
        <v>20</v>
      </c>
    </row>
    <row r="500" spans="1:8" x14ac:dyDescent="0.2">
      <c r="A500">
        <v>45556</v>
      </c>
      <c r="B500" t="s">
        <v>182</v>
      </c>
      <c r="C500" t="s">
        <v>9</v>
      </c>
      <c r="D500" t="s">
        <v>56</v>
      </c>
      <c r="E500" t="s">
        <v>38</v>
      </c>
      <c r="F500">
        <v>3</v>
      </c>
      <c r="G500">
        <v>86.09</v>
      </c>
      <c r="H500" t="s">
        <v>43</v>
      </c>
    </row>
    <row r="501" spans="1:8" x14ac:dyDescent="0.2">
      <c r="A501">
        <v>45361</v>
      </c>
      <c r="B501" t="s">
        <v>100</v>
      </c>
      <c r="C501" t="s">
        <v>14</v>
      </c>
      <c r="D501" t="s">
        <v>78</v>
      </c>
      <c r="E501" t="s">
        <v>50</v>
      </c>
      <c r="F501">
        <v>1</v>
      </c>
      <c r="G501">
        <v>145.56</v>
      </c>
      <c r="H501" t="s">
        <v>12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8262A3-28C8-4402-9BC0-4E9F1F719D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Pivot_Tables</vt:lpstr>
      <vt:lpstr>Clean_Data</vt:lpstr>
      <vt:lpstr>Item_ Master</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dc:creator>
  <cp:lastModifiedBy>Editor</cp:lastModifiedBy>
  <dcterms:created xsi:type="dcterms:W3CDTF">2026-02-02T10:00:07Z</dcterms:created>
  <dcterms:modified xsi:type="dcterms:W3CDTF">2026-02-04T16:09:38Z</dcterms:modified>
</cp:coreProperties>
</file>